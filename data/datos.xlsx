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ECNO-MASTER\Documents\Courses\EL7047\riesgo_opt\data\"/>
    </mc:Choice>
  </mc:AlternateContent>
  <xr:revisionPtr revIDLastSave="0" documentId="13_ncr:1_{F941FB23-4515-429D-9382-AD2DA78B5F4C}" xr6:coauthVersionLast="47" xr6:coauthVersionMax="47" xr10:uidLastSave="{00000000-0000-0000-0000-000000000000}"/>
  <bookViews>
    <workbookView xWindow="2295" yWindow="2295" windowWidth="21600" windowHeight="11295" activeTab="7" xr2:uid="{00000000-000D-0000-FFFF-FFFF00000000}"/>
  </bookViews>
  <sheets>
    <sheet name="gen_pv" sheetId="12" r:id="rId1"/>
    <sheet name="perfil_solar" sheetId="14" r:id="rId2"/>
    <sheet name="gen_w" sheetId="11" r:id="rId3"/>
    <sheet name="perfil_eolico" sheetId="13" r:id="rId4"/>
    <sheet name="gen_th" sheetId="8" r:id="rId5"/>
    <sheet name="red" sheetId="6" r:id="rId6"/>
    <sheet name="nodos" sheetId="7" r:id="rId7"/>
    <sheet name="dem" sheetId="4" r:id="rId8"/>
    <sheet name="reserva" sheetId="15" r:id="rId9"/>
    <sheet name="others" sheetId="16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5" l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B4" i="14"/>
  <c r="B5" i="14" s="1"/>
  <c r="B6" i="14" s="1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4" i="13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A5" i="11"/>
  <c r="A4" i="11"/>
  <c r="A4" i="12"/>
  <c r="A5" i="12" s="1"/>
  <c r="F5" i="12"/>
  <c r="C5" i="12"/>
  <c r="F4" i="12"/>
  <c r="C4" i="12"/>
  <c r="F3" i="12"/>
  <c r="C3" i="12"/>
  <c r="F5" i="11"/>
  <c r="C5" i="11"/>
  <c r="F4" i="11"/>
  <c r="C4" i="11"/>
  <c r="F3" i="11"/>
  <c r="C3" i="11"/>
  <c r="D4" i="8"/>
  <c r="D5" i="8"/>
  <c r="D6" i="8"/>
  <c r="D7" i="8"/>
  <c r="D8" i="8"/>
  <c r="D9" i="8"/>
  <c r="D10" i="8"/>
  <c r="D11" i="8"/>
  <c r="D12" i="8"/>
  <c r="D13" i="8"/>
  <c r="D14" i="8"/>
  <c r="D3" i="8"/>
  <c r="C7" i="8"/>
  <c r="C8" i="8"/>
  <c r="C9" i="8"/>
  <c r="C10" i="8"/>
  <c r="C11" i="8"/>
  <c r="C12" i="8"/>
  <c r="C13" i="8"/>
  <c r="C14" i="8"/>
  <c r="C5" i="8"/>
  <c r="C6" i="8"/>
  <c r="G4" i="6" l="1"/>
  <c r="G5" i="6"/>
  <c r="G6" i="6"/>
  <c r="G7" i="6"/>
  <c r="G8" i="6"/>
  <c r="G9" i="6"/>
  <c r="G10" i="6"/>
  <c r="G11" i="6"/>
  <c r="G12" i="6"/>
  <c r="G13" i="6"/>
  <c r="G3" i="6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C4" i="8" l="1"/>
  <c r="C3" i="8"/>
  <c r="F13" i="6"/>
  <c r="F12" i="6"/>
  <c r="F11" i="6"/>
  <c r="F10" i="6"/>
  <c r="F9" i="6"/>
  <c r="F8" i="6"/>
  <c r="F7" i="6"/>
  <c r="F6" i="6"/>
  <c r="F5" i="6"/>
  <c r="F4" i="6"/>
  <c r="F3" i="6"/>
</calcChain>
</file>

<file path=xl/sharedStrings.xml><?xml version="1.0" encoding="utf-8"?>
<sst xmlns="http://schemas.openxmlformats.org/spreadsheetml/2006/main" count="192" uniqueCount="89">
  <si>
    <t>id</t>
  </si>
  <si>
    <t>periods</t>
  </si>
  <si>
    <t>int</t>
  </si>
  <si>
    <t>$/kWh</t>
  </si>
  <si>
    <t>float</t>
  </si>
  <si>
    <t>time</t>
  </si>
  <si>
    <t>name</t>
  </si>
  <si>
    <t>nodo</t>
  </si>
  <si>
    <t>str</t>
  </si>
  <si>
    <t>kW</t>
  </si>
  <si>
    <t>conect_in</t>
  </si>
  <si>
    <t>conect_out</t>
  </si>
  <si>
    <t>reactance</t>
  </si>
  <si>
    <t>max_flow</t>
  </si>
  <si>
    <t>reactance_real</t>
  </si>
  <si>
    <t>max_flow_real</t>
  </si>
  <si>
    <t>pu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</si>
  <si>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</si>
  <si>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</si>
  <si>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</si>
  <si>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</si>
  <si>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</si>
  <si>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</si>
  <si>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</si>
  <si>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</si>
  <si>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</si>
  <si>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</si>
  <si>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</si>
  <si>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nodes</t>
  </si>
  <si>
    <t>Capacidad [%]</t>
  </si>
  <si>
    <t>KW</t>
  </si>
  <si>
    <t>_650</t>
  </si>
  <si>
    <t>_632</t>
  </si>
  <si>
    <t>_633</t>
  </si>
  <si>
    <t>_634</t>
  </si>
  <si>
    <t>_645</t>
  </si>
  <si>
    <t>_646</t>
  </si>
  <si>
    <t>_670</t>
  </si>
  <si>
    <t>_671</t>
  </si>
  <si>
    <t>_692</t>
  </si>
  <si>
    <t>_675</t>
  </si>
  <si>
    <t>_684</t>
  </si>
  <si>
    <t>_611</t>
  </si>
  <si>
    <t>P_min</t>
  </si>
  <si>
    <t>PV_01</t>
  </si>
  <si>
    <t>PV_02</t>
  </si>
  <si>
    <t>PV_03</t>
  </si>
  <si>
    <t>P_max</t>
  </si>
  <si>
    <t>fp</t>
  </si>
  <si>
    <t>WIND_01</t>
  </si>
  <si>
    <t>WIND_02</t>
  </si>
  <si>
    <t>WIND_03</t>
  </si>
  <si>
    <t>TH_01</t>
  </si>
  <si>
    <t>TH_02</t>
  </si>
  <si>
    <t>TH_03</t>
  </si>
  <si>
    <t>TH_04</t>
  </si>
  <si>
    <t>TH_05</t>
  </si>
  <si>
    <t>TH_06</t>
  </si>
  <si>
    <t>TH_07</t>
  </si>
  <si>
    <t>TH_08</t>
  </si>
  <si>
    <t>TH_09</t>
  </si>
  <si>
    <t>TH_10</t>
  </si>
  <si>
    <t>TH_11</t>
  </si>
  <si>
    <t>TH_12</t>
  </si>
  <si>
    <t>reserva_max</t>
  </si>
  <si>
    <t>kWH</t>
  </si>
  <si>
    <t>c_var</t>
  </si>
  <si>
    <t>c_on</t>
  </si>
  <si>
    <t>c_off</t>
  </si>
  <si>
    <t>t_on</t>
  </si>
  <si>
    <t>t_off</t>
  </si>
  <si>
    <t>r_up</t>
  </si>
  <si>
    <t>r_down</t>
  </si>
  <si>
    <t>MW/h</t>
  </si>
  <si>
    <t>MW</t>
  </si>
  <si>
    <t>c_giro</t>
  </si>
  <si>
    <t>$/MWh</t>
  </si>
  <si>
    <t>$</t>
  </si>
  <si>
    <t>$/MW</t>
  </si>
  <si>
    <t>K_load</t>
  </si>
  <si>
    <t>MW/Hz</t>
  </si>
  <si>
    <t>factor_conversion</t>
  </si>
  <si>
    <t>Hz</t>
  </si>
  <si>
    <t>f_nom</t>
  </si>
  <si>
    <t>f_min</t>
  </si>
  <si>
    <t>Droop</t>
  </si>
  <si>
    <t>K_m</t>
  </si>
  <si>
    <t>J</t>
  </si>
  <si>
    <t>coef_resp_primaria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</si>
</sst>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2" x14ac:knownFonts="1">
    <font>
      <sz val="12"/>
      <color theme="1"/>
      <name val="Calibri"/>
      <scheme val="minor"/>
    </font>
    <font>
      <b/>
      <sz val="11"/>
      <color rgb="FF000000"/>
      <name val="Aptos Narrow"/>
    </font>
    <font>
      <b/>
      <sz val="11"/>
      <color rgb="FF000000"/>
      <name val="Arial"/>
    </font>
    <font>
      <sz val="11"/>
      <color rgb="FF000000"/>
      <name val="Calibri"/>
    </font>
    <font>
      <sz val="11"/>
      <color theme="1"/>
      <name val="Calibri"/>
    </font>
    <font>
      <sz val="12"/>
      <color theme="1"/>
      <name val="Calibri"/>
    </font>
    <font>
      <sz val="12"/>
      <color theme="1"/>
      <name val="Arial"/>
    </font>
    <font>
      <u/>
      <sz val="12"/>
      <color theme="1"/>
      <name val="Calibri"/>
    </font>
    <font>
      <sz val="12"/>
      <color theme="1"/>
      <name val="Calibri"/>
      <scheme val="minor"/>
    </font>
    <font>
      <u/>
      <sz val="11"/>
      <color rgb="FF000000"/>
      <name val="Calibri"/>
    </font>
    <font>
      <sz val="12"/>
      <color theme="1"/>
      <name val="Calibri"/>
      <family val="2"/>
      <scheme val="minor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0" fillId="0" borderId="2"/>
  </cellStyleXfs>
  <cellXfs count="27">
    <xf numFmtId="0" fontId="0" fillId="0" borderId="0" xfId="0"/>
    <xf numFmtId="3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3" fontId="4" fillId="0" borderId="3" xfId="0" applyNumberFormat="1" applyFont="1" applyBorder="1" applyAlignment="1">
      <alignment horizontal="left"/>
    </xf>
    <xf numFmtId="0" fontId="5" fillId="0" borderId="0" xfId="0" applyFont="1"/>
    <xf numFmtId="0" fontId="6" fillId="0" borderId="0" xfId="0" applyFont="1"/>
    <xf numFmtId="3" fontId="2" fillId="2" borderId="1" xfId="0" applyNumberFormat="1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4" fillId="0" borderId="5" xfId="0" applyFont="1" applyBorder="1" applyAlignment="1">
      <alignment horizontal="center"/>
    </xf>
    <xf numFmtId="3" fontId="9" fillId="0" borderId="1" xfId="0" applyNumberFormat="1" applyFont="1" applyBorder="1" applyAlignment="1">
      <alignment horizontal="left"/>
    </xf>
    <xf numFmtId="3" fontId="2" fillId="2" borderId="4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3" fontId="2" fillId="2" borderId="2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E6577-A8E7-4BD3-B5FB-FDBA7C58A0B1}">
  <sheetPr>
    <outlinePr summaryBelow="0" summaryRight="0"/>
  </sheetPr>
  <dimension ref="A1:H14"/>
  <sheetViews>
    <sheetView workbookViewId="0">
      <selection activeCell="H2" sqref="H2"/>
    </sheetView>
  </sheetViews>
  <sheetFormatPr baseColWidth="10" defaultColWidth="11.25" defaultRowHeight="15" customHeight="1" x14ac:dyDescent="0.25"/>
  <sheetData>
    <row r="1" spans="1:8" ht="15" customHeight="1" x14ac:dyDescent="0.25">
      <c r="A1" s="1" t="s">
        <v>0</v>
      </c>
      <c r="B1" s="2" t="s">
        <v>6</v>
      </c>
      <c r="C1" s="3" t="s">
        <v>29</v>
      </c>
      <c r="D1" s="3" t="s">
        <v>43</v>
      </c>
      <c r="E1" s="15" t="s">
        <v>47</v>
      </c>
      <c r="F1" s="15" t="s">
        <v>48</v>
      </c>
      <c r="G1" s="20" t="s">
        <v>7</v>
      </c>
      <c r="H1" s="20" t="s">
        <v>66</v>
      </c>
    </row>
    <row r="2" spans="1:8" ht="15" customHeight="1" x14ac:dyDescent="0.25">
      <c r="A2" s="4" t="s">
        <v>2</v>
      </c>
      <c r="B2" s="2" t="s">
        <v>8</v>
      </c>
      <c r="C2" s="2" t="s">
        <v>4</v>
      </c>
      <c r="D2" s="2" t="s">
        <v>9</v>
      </c>
      <c r="E2" s="15" t="s">
        <v>30</v>
      </c>
      <c r="F2" s="15"/>
      <c r="G2" s="20" t="s">
        <v>2</v>
      </c>
      <c r="H2" s="20" t="s">
        <v>3</v>
      </c>
    </row>
    <row r="3" spans="1:8" ht="15" customHeight="1" x14ac:dyDescent="0.25">
      <c r="A3" s="7">
        <v>1</v>
      </c>
      <c r="B3" s="8" t="s">
        <v>44</v>
      </c>
      <c r="C3" s="9">
        <f t="shared" ref="C3:C5" si="0">100%</f>
        <v>1</v>
      </c>
      <c r="D3" s="9">
        <v>0</v>
      </c>
      <c r="E3" s="11">
        <v>400</v>
      </c>
      <c r="F3" s="11">
        <f t="shared" ref="F3:F5" si="1">0.8</f>
        <v>0.8</v>
      </c>
      <c r="G3" s="8">
        <v>650</v>
      </c>
      <c r="H3" s="17">
        <v>0</v>
      </c>
    </row>
    <row r="4" spans="1:8" ht="15" customHeight="1" x14ac:dyDescent="0.25">
      <c r="A4" s="7">
        <f>A3+1</f>
        <v>2</v>
      </c>
      <c r="B4" s="8" t="s">
        <v>45</v>
      </c>
      <c r="C4" s="9">
        <f t="shared" si="0"/>
        <v>1</v>
      </c>
      <c r="D4" s="9">
        <v>0</v>
      </c>
      <c r="E4" s="11">
        <v>400</v>
      </c>
      <c r="F4" s="11">
        <f t="shared" si="1"/>
        <v>0.8</v>
      </c>
      <c r="G4" s="8">
        <v>632</v>
      </c>
      <c r="H4" s="17">
        <v>0</v>
      </c>
    </row>
    <row r="5" spans="1:8" ht="15" customHeight="1" x14ac:dyDescent="0.25">
      <c r="A5" s="7">
        <f>A4+1</f>
        <v>3</v>
      </c>
      <c r="B5" s="8" t="s">
        <v>46</v>
      </c>
      <c r="C5" s="9">
        <f t="shared" si="0"/>
        <v>1</v>
      </c>
      <c r="D5" s="9">
        <v>0</v>
      </c>
      <c r="E5" s="11">
        <v>400</v>
      </c>
      <c r="F5" s="11">
        <f t="shared" si="1"/>
        <v>0.8</v>
      </c>
      <c r="G5" s="8">
        <v>633</v>
      </c>
      <c r="H5" s="17">
        <v>0</v>
      </c>
    </row>
    <row r="6" spans="1:8" ht="15" customHeight="1" x14ac:dyDescent="0.25">
      <c r="A6" s="7"/>
      <c r="B6" s="8"/>
      <c r="C6" s="9"/>
      <c r="D6" s="9"/>
      <c r="E6" s="11"/>
      <c r="F6" s="11"/>
      <c r="G6" s="8"/>
      <c r="H6" s="17"/>
    </row>
    <row r="7" spans="1:8" ht="15" customHeight="1" x14ac:dyDescent="0.25">
      <c r="A7" s="7"/>
      <c r="B7" s="8"/>
      <c r="C7" s="9"/>
      <c r="D7" s="9"/>
      <c r="E7" s="11"/>
      <c r="F7" s="11"/>
      <c r="G7" s="8"/>
      <c r="H7" s="17"/>
    </row>
    <row r="8" spans="1:8" ht="15" customHeight="1" x14ac:dyDescent="0.25">
      <c r="A8" s="7"/>
      <c r="B8" s="8"/>
      <c r="C8" s="9"/>
      <c r="D8" s="9"/>
      <c r="E8" s="11"/>
      <c r="F8" s="11"/>
      <c r="G8" s="8"/>
      <c r="H8" s="17"/>
    </row>
    <row r="9" spans="1:8" ht="15" customHeight="1" x14ac:dyDescent="0.25">
      <c r="A9" s="7"/>
      <c r="B9" s="8"/>
      <c r="C9" s="9"/>
      <c r="D9" s="9"/>
      <c r="E9" s="11"/>
      <c r="F9" s="11"/>
      <c r="G9" s="8"/>
      <c r="H9" s="17"/>
    </row>
    <row r="10" spans="1:8" ht="15" customHeight="1" x14ac:dyDescent="0.25">
      <c r="A10" s="7"/>
      <c r="B10" s="8"/>
      <c r="C10" s="9"/>
      <c r="D10" s="9"/>
      <c r="E10" s="11"/>
      <c r="F10" s="11"/>
      <c r="G10" s="8"/>
      <c r="H10" s="17"/>
    </row>
    <row r="11" spans="1:8" ht="15" customHeight="1" x14ac:dyDescent="0.25">
      <c r="A11" s="7"/>
      <c r="B11" s="8"/>
      <c r="C11" s="9"/>
      <c r="D11" s="9"/>
      <c r="E11" s="11"/>
      <c r="F11" s="11"/>
      <c r="G11" s="8"/>
      <c r="H11" s="17"/>
    </row>
    <row r="12" spans="1:8" ht="15" customHeight="1" x14ac:dyDescent="0.25">
      <c r="A12" s="7"/>
      <c r="B12" s="8"/>
      <c r="C12" s="9"/>
      <c r="D12" s="9"/>
      <c r="E12" s="11"/>
      <c r="F12" s="11"/>
      <c r="G12" s="8"/>
      <c r="H12" s="17"/>
    </row>
    <row r="13" spans="1:8" ht="15" customHeight="1" x14ac:dyDescent="0.25">
      <c r="A13" s="7"/>
      <c r="B13" s="8"/>
      <c r="C13" s="9"/>
      <c r="D13" s="9"/>
      <c r="E13" s="11"/>
      <c r="F13" s="11"/>
      <c r="G13" s="8"/>
      <c r="H13" s="17"/>
    </row>
    <row r="14" spans="1:8" ht="15" customHeight="1" x14ac:dyDescent="0.25">
      <c r="A14" s="7"/>
      <c r="B14" s="8"/>
      <c r="C14" s="9"/>
      <c r="D14" s="9"/>
      <c r="E14" s="11"/>
      <c r="F14" s="11"/>
      <c r="G14" s="8"/>
      <c r="H14" s="17"/>
    </row>
  </sheetData>
  <phoneticPr fontId="11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DD18A-F4CF-465F-A898-923DE2D2D474}">
  <dimension ref="A1:E1000"/>
  <sheetViews>
    <sheetView workbookViewId="0">
      <selection activeCell="G7" sqref="G7"/>
    </sheetView>
  </sheetViews>
  <sheetFormatPr baseColWidth="10" defaultColWidth="11.25" defaultRowHeight="15" customHeight="1" x14ac:dyDescent="0.25"/>
  <cols>
    <col min="1" max="26" width="10.5" customWidth="1"/>
  </cols>
  <sheetData>
    <row r="1" spans="1:5" ht="15.75" customHeight="1" x14ac:dyDescent="0.25">
      <c r="A1" s="13" t="s">
        <v>0</v>
      </c>
      <c r="B1" s="1" t="s">
        <v>5</v>
      </c>
      <c r="C1" s="3" t="s">
        <v>31</v>
      </c>
      <c r="D1" s="3" t="s">
        <v>32</v>
      </c>
      <c r="E1" s="3" t="s">
        <v>33</v>
      </c>
    </row>
    <row r="2" spans="1:5" ht="15.75" customHeight="1" x14ac:dyDescent="0.25">
      <c r="A2" s="13" t="s">
        <v>2</v>
      </c>
      <c r="B2" s="4" t="s">
        <v>2</v>
      </c>
      <c r="C2" s="3" t="s">
        <v>4</v>
      </c>
      <c r="D2" s="3" t="s">
        <v>4</v>
      </c>
      <c r="E2" s="3" t="s">
        <v>4</v>
      </c>
    </row>
    <row r="3" spans="1:5" ht="15.75" customHeight="1" x14ac:dyDescent="0.25">
      <c r="A3" s="13">
        <v>0</v>
      </c>
      <c r="B3" s="13">
        <v>1</v>
      </c>
      <c r="C3" s="14">
        <v>0</v>
      </c>
      <c r="D3" s="14">
        <v>0</v>
      </c>
      <c r="E3" s="14">
        <v>0</v>
      </c>
    </row>
    <row r="4" spans="1:5" ht="15.75" customHeight="1" x14ac:dyDescent="0.25">
      <c r="A4" s="13">
        <v>1</v>
      </c>
      <c r="B4" s="13">
        <f t="shared" ref="B4:B26" si="0">B3+1</f>
        <v>2</v>
      </c>
      <c r="C4" s="14">
        <v>0</v>
      </c>
      <c r="D4" s="14">
        <v>0</v>
      </c>
      <c r="E4" s="14">
        <v>0</v>
      </c>
    </row>
    <row r="5" spans="1:5" ht="15.75" customHeight="1" x14ac:dyDescent="0.25">
      <c r="A5" s="13">
        <v>2</v>
      </c>
      <c r="B5" s="13">
        <f t="shared" si="0"/>
        <v>3</v>
      </c>
      <c r="C5" s="14">
        <v>20</v>
      </c>
      <c r="D5" s="14">
        <v>20</v>
      </c>
      <c r="E5" s="14">
        <v>20</v>
      </c>
    </row>
    <row r="6" spans="1:5" ht="15.75" customHeight="1" x14ac:dyDescent="0.25">
      <c r="A6" s="13">
        <v>3</v>
      </c>
      <c r="B6" s="13">
        <f t="shared" si="0"/>
        <v>4</v>
      </c>
      <c r="C6" s="14">
        <v>20</v>
      </c>
      <c r="D6" s="14">
        <v>20</v>
      </c>
      <c r="E6" s="14">
        <v>20</v>
      </c>
    </row>
    <row r="7" spans="1:5" ht="15.75" customHeight="1" x14ac:dyDescent="0.25">
      <c r="A7" s="13">
        <v>4</v>
      </c>
      <c r="B7" s="13">
        <f t="shared" si="0"/>
        <v>5</v>
      </c>
      <c r="C7" s="14">
        <v>20</v>
      </c>
      <c r="D7" s="14">
        <v>20</v>
      </c>
      <c r="E7" s="14">
        <v>20</v>
      </c>
    </row>
    <row r="8" spans="1:5" ht="15.75" customHeight="1" x14ac:dyDescent="0.25">
      <c r="A8" s="13">
        <v>5</v>
      </c>
      <c r="B8" s="13">
        <f t="shared" si="0"/>
        <v>6</v>
      </c>
      <c r="C8" s="14">
        <v>20</v>
      </c>
      <c r="D8" s="14">
        <v>20</v>
      </c>
      <c r="E8" s="14">
        <v>20</v>
      </c>
    </row>
    <row r="9" spans="1:5" ht="15.75" customHeight="1" x14ac:dyDescent="0.25">
      <c r="A9" s="13">
        <v>6</v>
      </c>
      <c r="B9" s="13">
        <f t="shared" si="0"/>
        <v>7</v>
      </c>
      <c r="C9" s="14">
        <v>20</v>
      </c>
      <c r="D9" s="14">
        <v>20</v>
      </c>
      <c r="E9" s="14">
        <v>20</v>
      </c>
    </row>
    <row r="10" spans="1:5" ht="15.75" customHeight="1" x14ac:dyDescent="0.25">
      <c r="A10" s="13">
        <v>7</v>
      </c>
      <c r="B10" s="13">
        <f t="shared" si="0"/>
        <v>8</v>
      </c>
      <c r="C10" s="14">
        <v>20</v>
      </c>
      <c r="D10" s="14">
        <v>20</v>
      </c>
      <c r="E10" s="14">
        <v>20</v>
      </c>
    </row>
    <row r="11" spans="1:5" ht="15.75" customHeight="1" x14ac:dyDescent="0.25">
      <c r="A11" s="13">
        <v>8</v>
      </c>
      <c r="B11" s="13">
        <f t="shared" si="0"/>
        <v>9</v>
      </c>
      <c r="C11" s="14">
        <v>20</v>
      </c>
      <c r="D11" s="14">
        <v>20</v>
      </c>
      <c r="E11" s="14">
        <v>20</v>
      </c>
    </row>
    <row r="12" spans="1:5" ht="15.75" customHeight="1" x14ac:dyDescent="0.25">
      <c r="A12" s="13">
        <v>9</v>
      </c>
      <c r="B12" s="13">
        <f t="shared" si="0"/>
        <v>10</v>
      </c>
      <c r="C12" s="14">
        <v>20</v>
      </c>
      <c r="D12" s="14">
        <v>20</v>
      </c>
      <c r="E12" s="14">
        <v>20</v>
      </c>
    </row>
    <row r="13" spans="1:5" ht="15.75" customHeight="1" x14ac:dyDescent="0.25">
      <c r="A13" s="13">
        <v>10</v>
      </c>
      <c r="B13" s="13">
        <f t="shared" si="0"/>
        <v>11</v>
      </c>
      <c r="C13" s="14">
        <v>100</v>
      </c>
      <c r="D13" s="14">
        <v>100</v>
      </c>
      <c r="E13" s="14">
        <v>100</v>
      </c>
    </row>
    <row r="14" spans="1:5" ht="15.75" customHeight="1" x14ac:dyDescent="0.25">
      <c r="A14" s="13">
        <v>11</v>
      </c>
      <c r="B14" s="13">
        <f t="shared" si="0"/>
        <v>12</v>
      </c>
      <c r="C14" s="14">
        <v>100</v>
      </c>
      <c r="D14" s="14">
        <v>100</v>
      </c>
      <c r="E14" s="14">
        <v>100</v>
      </c>
    </row>
    <row r="15" spans="1:5" ht="15.75" customHeight="1" x14ac:dyDescent="0.25">
      <c r="A15" s="13">
        <v>12</v>
      </c>
      <c r="B15" s="13">
        <f t="shared" si="0"/>
        <v>13</v>
      </c>
      <c r="C15" s="14">
        <v>20</v>
      </c>
      <c r="D15" s="14">
        <v>20</v>
      </c>
      <c r="E15" s="14">
        <v>20</v>
      </c>
    </row>
    <row r="16" spans="1:5" ht="15.75" customHeight="1" x14ac:dyDescent="0.25">
      <c r="A16" s="13">
        <v>13</v>
      </c>
      <c r="B16" s="13">
        <f t="shared" si="0"/>
        <v>14</v>
      </c>
      <c r="C16" s="14">
        <v>20</v>
      </c>
      <c r="D16" s="14">
        <v>20</v>
      </c>
      <c r="E16" s="14">
        <v>20</v>
      </c>
    </row>
    <row r="17" spans="1:5" ht="15.75" customHeight="1" x14ac:dyDescent="0.25">
      <c r="A17" s="13">
        <v>14</v>
      </c>
      <c r="B17" s="13">
        <f t="shared" si="0"/>
        <v>15</v>
      </c>
      <c r="C17" s="14">
        <v>20</v>
      </c>
      <c r="D17" s="14">
        <v>20</v>
      </c>
      <c r="E17" s="14">
        <v>20</v>
      </c>
    </row>
    <row r="18" spans="1:5" ht="15.75" customHeight="1" x14ac:dyDescent="0.25">
      <c r="A18" s="13">
        <v>15</v>
      </c>
      <c r="B18" s="13">
        <f t="shared" si="0"/>
        <v>16</v>
      </c>
      <c r="C18" s="14">
        <v>20</v>
      </c>
      <c r="D18" s="14">
        <v>20</v>
      </c>
      <c r="E18" s="14">
        <v>20</v>
      </c>
    </row>
    <row r="19" spans="1:5" ht="15.75" customHeight="1" x14ac:dyDescent="0.25">
      <c r="A19" s="13">
        <v>16</v>
      </c>
      <c r="B19" s="13">
        <f t="shared" si="0"/>
        <v>17</v>
      </c>
      <c r="C19" s="14">
        <v>20</v>
      </c>
      <c r="D19" s="14">
        <v>20</v>
      </c>
      <c r="E19" s="14">
        <v>20</v>
      </c>
    </row>
    <row r="20" spans="1:5" ht="15.75" customHeight="1" x14ac:dyDescent="0.25">
      <c r="A20" s="13">
        <v>17</v>
      </c>
      <c r="B20" s="13">
        <f t="shared" si="0"/>
        <v>18</v>
      </c>
      <c r="C20" s="14">
        <v>20</v>
      </c>
      <c r="D20" s="14">
        <v>20</v>
      </c>
      <c r="E20" s="14">
        <v>20</v>
      </c>
    </row>
    <row r="21" spans="1:5" ht="15.75" customHeight="1" x14ac:dyDescent="0.25">
      <c r="A21" s="13">
        <v>18</v>
      </c>
      <c r="B21" s="13">
        <f t="shared" si="0"/>
        <v>19</v>
      </c>
      <c r="C21" s="14">
        <v>20</v>
      </c>
      <c r="D21" s="14">
        <v>20</v>
      </c>
      <c r="E21" s="14">
        <v>20</v>
      </c>
    </row>
    <row r="22" spans="1:5" ht="15.75" customHeight="1" x14ac:dyDescent="0.25">
      <c r="A22" s="13">
        <v>19</v>
      </c>
      <c r="B22" s="13">
        <f t="shared" si="0"/>
        <v>20</v>
      </c>
      <c r="C22" s="14">
        <v>20</v>
      </c>
      <c r="D22" s="14">
        <v>20</v>
      </c>
      <c r="E22" s="14">
        <v>20</v>
      </c>
    </row>
    <row r="23" spans="1:5" ht="15.75" customHeight="1" x14ac:dyDescent="0.25">
      <c r="A23" s="13">
        <v>20</v>
      </c>
      <c r="B23" s="13">
        <f t="shared" si="0"/>
        <v>21</v>
      </c>
      <c r="C23" s="14">
        <v>20</v>
      </c>
      <c r="D23" s="14">
        <v>20</v>
      </c>
      <c r="E23" s="14">
        <v>20</v>
      </c>
    </row>
    <row r="24" spans="1:5" ht="15.75" customHeight="1" x14ac:dyDescent="0.25">
      <c r="A24" s="13">
        <v>21</v>
      </c>
      <c r="B24" s="13">
        <f t="shared" si="0"/>
        <v>22</v>
      </c>
      <c r="C24" s="14">
        <v>20</v>
      </c>
      <c r="D24" s="14">
        <v>20</v>
      </c>
      <c r="E24" s="14">
        <v>20</v>
      </c>
    </row>
    <row r="25" spans="1:5" ht="15.75" customHeight="1" x14ac:dyDescent="0.25">
      <c r="A25" s="13">
        <v>22</v>
      </c>
      <c r="B25" s="13">
        <f t="shared" si="0"/>
        <v>23</v>
      </c>
      <c r="C25" s="14">
        <v>0</v>
      </c>
      <c r="D25" s="14">
        <v>0</v>
      </c>
      <c r="E25" s="14">
        <v>0</v>
      </c>
    </row>
    <row r="26" spans="1:5" ht="15.75" customHeight="1" x14ac:dyDescent="0.25">
      <c r="A26" s="13">
        <v>23</v>
      </c>
      <c r="B26" s="13">
        <f t="shared" si="0"/>
        <v>24</v>
      </c>
      <c r="C26" s="14">
        <v>0</v>
      </c>
      <c r="D26" s="14">
        <v>0</v>
      </c>
      <c r="E26" s="14">
        <v>0</v>
      </c>
    </row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1616-4648-4A78-A2A6-7D79A1BF1A5A}">
  <sheetPr>
    <outlinePr summaryBelow="0" summaryRight="0"/>
  </sheetPr>
  <dimension ref="A1:H14"/>
  <sheetViews>
    <sheetView workbookViewId="0">
      <selection activeCell="G3" sqref="G3:G5"/>
    </sheetView>
  </sheetViews>
  <sheetFormatPr baseColWidth="10" defaultColWidth="11.25" defaultRowHeight="15" customHeight="1" x14ac:dyDescent="0.25"/>
  <sheetData>
    <row r="1" spans="1:8" ht="15" customHeight="1" x14ac:dyDescent="0.25">
      <c r="A1" s="1" t="s">
        <v>0</v>
      </c>
      <c r="B1" s="2" t="s">
        <v>6</v>
      </c>
      <c r="C1" s="3" t="s">
        <v>29</v>
      </c>
      <c r="D1" s="3" t="s">
        <v>43</v>
      </c>
      <c r="E1" s="15" t="s">
        <v>47</v>
      </c>
      <c r="F1" s="15" t="s">
        <v>48</v>
      </c>
      <c r="G1" s="20" t="s">
        <v>7</v>
      </c>
      <c r="H1" s="20" t="s">
        <v>66</v>
      </c>
    </row>
    <row r="2" spans="1:8" ht="15" customHeight="1" x14ac:dyDescent="0.25">
      <c r="A2" s="4" t="s">
        <v>2</v>
      </c>
      <c r="B2" s="2" t="s">
        <v>8</v>
      </c>
      <c r="C2" s="2" t="s">
        <v>4</v>
      </c>
      <c r="D2" s="2" t="s">
        <v>9</v>
      </c>
      <c r="E2" s="15" t="s">
        <v>30</v>
      </c>
      <c r="F2" s="15" t="s">
        <v>16</v>
      </c>
      <c r="G2" s="20" t="s">
        <v>2</v>
      </c>
      <c r="H2" s="20" t="s">
        <v>3</v>
      </c>
    </row>
    <row r="3" spans="1:8" ht="15" customHeight="1" x14ac:dyDescent="0.25">
      <c r="A3" s="7">
        <v>1</v>
      </c>
      <c r="B3" s="8" t="s">
        <v>49</v>
      </c>
      <c r="C3" s="9">
        <f t="shared" ref="C3:C5" si="0">100%</f>
        <v>1</v>
      </c>
      <c r="D3" s="9">
        <v>0</v>
      </c>
      <c r="E3" s="11">
        <v>200</v>
      </c>
      <c r="F3" s="11">
        <f t="shared" ref="F3:F5" si="1">0.8</f>
        <v>0.8</v>
      </c>
      <c r="G3" s="8">
        <v>650</v>
      </c>
      <c r="H3" s="17">
        <v>0</v>
      </c>
    </row>
    <row r="4" spans="1:8" ht="15" customHeight="1" x14ac:dyDescent="0.25">
      <c r="A4" s="7">
        <f>A3+1</f>
        <v>2</v>
      </c>
      <c r="B4" s="8" t="s">
        <v>50</v>
      </c>
      <c r="C4" s="9">
        <f t="shared" si="0"/>
        <v>1</v>
      </c>
      <c r="D4" s="9">
        <v>0</v>
      </c>
      <c r="E4" s="11">
        <v>200</v>
      </c>
      <c r="F4" s="11">
        <f t="shared" si="1"/>
        <v>0.8</v>
      </c>
      <c r="G4" s="8">
        <v>632</v>
      </c>
      <c r="H4" s="17">
        <v>0</v>
      </c>
    </row>
    <row r="5" spans="1:8" ht="15" customHeight="1" x14ac:dyDescent="0.25">
      <c r="A5" s="7">
        <f>A4+1</f>
        <v>3</v>
      </c>
      <c r="B5" s="8" t="s">
        <v>51</v>
      </c>
      <c r="C5" s="9">
        <f t="shared" si="0"/>
        <v>1</v>
      </c>
      <c r="D5" s="9">
        <v>0</v>
      </c>
      <c r="E5" s="11">
        <v>200</v>
      </c>
      <c r="F5" s="11">
        <f t="shared" si="1"/>
        <v>0.8</v>
      </c>
      <c r="G5" s="8">
        <v>633</v>
      </c>
      <c r="H5" s="17">
        <v>0</v>
      </c>
    </row>
    <row r="6" spans="1:8" ht="15" customHeight="1" x14ac:dyDescent="0.25">
      <c r="A6" s="7"/>
      <c r="B6" s="8"/>
      <c r="C6" s="9"/>
      <c r="D6" s="9"/>
      <c r="E6" s="11"/>
      <c r="F6" s="11"/>
      <c r="G6" s="8"/>
      <c r="H6" s="17"/>
    </row>
    <row r="7" spans="1:8" ht="15" customHeight="1" x14ac:dyDescent="0.25">
      <c r="A7" s="7"/>
      <c r="B7" s="8"/>
      <c r="C7" s="9"/>
      <c r="D7" s="9"/>
      <c r="E7" s="11"/>
      <c r="F7" s="11"/>
      <c r="G7" s="8"/>
      <c r="H7" s="17"/>
    </row>
    <row r="8" spans="1:8" ht="15" customHeight="1" x14ac:dyDescent="0.25">
      <c r="A8" s="7"/>
      <c r="B8" s="8"/>
      <c r="C8" s="9"/>
      <c r="D8" s="9"/>
      <c r="E8" s="11"/>
      <c r="F8" s="11"/>
      <c r="G8" s="8"/>
      <c r="H8" s="17"/>
    </row>
    <row r="9" spans="1:8" ht="15" customHeight="1" x14ac:dyDescent="0.25">
      <c r="A9" s="7"/>
      <c r="B9" s="8"/>
      <c r="C9" s="9"/>
      <c r="D9" s="9"/>
      <c r="E9" s="11"/>
      <c r="F9" s="11"/>
      <c r="G9" s="8"/>
      <c r="H9" s="17"/>
    </row>
    <row r="10" spans="1:8" ht="15" customHeight="1" x14ac:dyDescent="0.25">
      <c r="A10" s="7"/>
      <c r="B10" s="8"/>
      <c r="C10" s="9"/>
      <c r="D10" s="9"/>
      <c r="E10" s="11"/>
      <c r="F10" s="11"/>
      <c r="G10" s="8"/>
      <c r="H10" s="17"/>
    </row>
    <row r="11" spans="1:8" ht="15" customHeight="1" x14ac:dyDescent="0.25">
      <c r="A11" s="7"/>
      <c r="B11" s="8"/>
      <c r="C11" s="9"/>
      <c r="D11" s="9"/>
      <c r="E11" s="11"/>
      <c r="F11" s="11"/>
      <c r="G11" s="8"/>
      <c r="H11" s="17"/>
    </row>
    <row r="12" spans="1:8" ht="15" customHeight="1" x14ac:dyDescent="0.25">
      <c r="A12" s="7"/>
      <c r="B12" s="8"/>
      <c r="C12" s="9"/>
      <c r="D12" s="9"/>
      <c r="E12" s="11"/>
      <c r="F12" s="11"/>
      <c r="G12" s="8"/>
      <c r="H12" s="17"/>
    </row>
    <row r="13" spans="1:8" ht="15" customHeight="1" x14ac:dyDescent="0.25">
      <c r="A13" s="7"/>
      <c r="B13" s="8"/>
      <c r="C13" s="9"/>
      <c r="D13" s="9"/>
      <c r="E13" s="11"/>
      <c r="F13" s="11"/>
      <c r="G13" s="8"/>
      <c r="H13" s="17"/>
    </row>
    <row r="14" spans="1:8" ht="15" customHeight="1" x14ac:dyDescent="0.25">
      <c r="A14" s="7"/>
      <c r="B14" s="8"/>
      <c r="C14" s="9"/>
      <c r="D14" s="9"/>
      <c r="E14" s="11"/>
      <c r="F14" s="11"/>
      <c r="G14" s="8"/>
      <c r="H14" s="17"/>
    </row>
  </sheetData>
  <phoneticPr fontId="11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16F67-F558-40D3-9CE1-F4FA71D142AA}">
  <dimension ref="A1:E1000"/>
  <sheetViews>
    <sheetView workbookViewId="0">
      <selection activeCell="E2" sqref="E2"/>
    </sheetView>
  </sheetViews>
  <sheetFormatPr baseColWidth="10" defaultColWidth="11.25" defaultRowHeight="15" customHeight="1" x14ac:dyDescent="0.25"/>
  <cols>
    <col min="1" max="26" width="10.5" customWidth="1"/>
  </cols>
  <sheetData>
    <row r="1" spans="1:5" ht="15.75" customHeight="1" x14ac:dyDescent="0.25">
      <c r="A1" s="13" t="s">
        <v>0</v>
      </c>
      <c r="B1" s="1" t="s">
        <v>5</v>
      </c>
      <c r="C1" s="3" t="s">
        <v>31</v>
      </c>
      <c r="D1" s="3" t="s">
        <v>32</v>
      </c>
      <c r="E1" s="3" t="s">
        <v>33</v>
      </c>
    </row>
    <row r="2" spans="1:5" ht="15.75" customHeight="1" x14ac:dyDescent="0.25">
      <c r="A2" s="13" t="s">
        <v>2</v>
      </c>
      <c r="B2" s="4" t="s">
        <v>2</v>
      </c>
      <c r="C2" s="3" t="s">
        <v>4</v>
      </c>
      <c r="D2" s="3" t="s">
        <v>4</v>
      </c>
      <c r="E2" s="3" t="s">
        <v>4</v>
      </c>
    </row>
    <row r="3" spans="1:5" ht="15.75" customHeight="1" x14ac:dyDescent="0.25">
      <c r="A3" s="13">
        <v>0</v>
      </c>
      <c r="B3" s="13">
        <v>1</v>
      </c>
      <c r="C3" s="14">
        <v>20</v>
      </c>
      <c r="D3" s="14">
        <v>20</v>
      </c>
      <c r="E3" s="14">
        <v>20</v>
      </c>
    </row>
    <row r="4" spans="1:5" ht="15.75" customHeight="1" x14ac:dyDescent="0.25">
      <c r="A4" s="13">
        <v>1</v>
      </c>
      <c r="B4" s="13">
        <f t="shared" ref="B4:B26" si="0">B3+1</f>
        <v>2</v>
      </c>
      <c r="C4" s="14">
        <v>20</v>
      </c>
      <c r="D4" s="14">
        <v>20</v>
      </c>
      <c r="E4" s="14">
        <v>20</v>
      </c>
    </row>
    <row r="5" spans="1:5" ht="15.75" customHeight="1" x14ac:dyDescent="0.25">
      <c r="A5" s="13">
        <v>2</v>
      </c>
      <c r="B5" s="13">
        <f t="shared" si="0"/>
        <v>3</v>
      </c>
      <c r="C5" s="14">
        <v>20</v>
      </c>
      <c r="D5" s="14">
        <v>20</v>
      </c>
      <c r="E5" s="14">
        <v>20</v>
      </c>
    </row>
    <row r="6" spans="1:5" ht="15.75" customHeight="1" x14ac:dyDescent="0.25">
      <c r="A6" s="13">
        <v>3</v>
      </c>
      <c r="B6" s="13">
        <f t="shared" si="0"/>
        <v>4</v>
      </c>
      <c r="C6" s="14">
        <v>20</v>
      </c>
      <c r="D6" s="14">
        <v>20</v>
      </c>
      <c r="E6" s="14">
        <v>20</v>
      </c>
    </row>
    <row r="7" spans="1:5" ht="15.75" customHeight="1" x14ac:dyDescent="0.25">
      <c r="A7" s="13">
        <v>4</v>
      </c>
      <c r="B7" s="13">
        <f t="shared" si="0"/>
        <v>5</v>
      </c>
      <c r="C7" s="14">
        <v>20</v>
      </c>
      <c r="D7" s="14">
        <v>20</v>
      </c>
      <c r="E7" s="14">
        <v>20</v>
      </c>
    </row>
    <row r="8" spans="1:5" ht="15.75" customHeight="1" x14ac:dyDescent="0.25">
      <c r="A8" s="13">
        <v>5</v>
      </c>
      <c r="B8" s="13">
        <f t="shared" si="0"/>
        <v>6</v>
      </c>
      <c r="C8" s="14">
        <v>20</v>
      </c>
      <c r="D8" s="14">
        <v>20</v>
      </c>
      <c r="E8" s="14">
        <v>20</v>
      </c>
    </row>
    <row r="9" spans="1:5" ht="15.75" customHeight="1" x14ac:dyDescent="0.25">
      <c r="A9" s="13">
        <v>6</v>
      </c>
      <c r="B9" s="13">
        <f t="shared" si="0"/>
        <v>7</v>
      </c>
      <c r="C9" s="14">
        <v>20</v>
      </c>
      <c r="D9" s="14">
        <v>20</v>
      </c>
      <c r="E9" s="14">
        <v>20</v>
      </c>
    </row>
    <row r="10" spans="1:5" ht="15.75" customHeight="1" x14ac:dyDescent="0.25">
      <c r="A10" s="13">
        <v>7</v>
      </c>
      <c r="B10" s="13">
        <f t="shared" si="0"/>
        <v>8</v>
      </c>
      <c r="C10" s="14">
        <v>20</v>
      </c>
      <c r="D10" s="14">
        <v>20</v>
      </c>
      <c r="E10" s="14">
        <v>20</v>
      </c>
    </row>
    <row r="11" spans="1:5" ht="15.75" customHeight="1" x14ac:dyDescent="0.25">
      <c r="A11" s="13">
        <v>8</v>
      </c>
      <c r="B11" s="13">
        <f t="shared" si="0"/>
        <v>9</v>
      </c>
      <c r="C11" s="14">
        <v>20</v>
      </c>
      <c r="D11" s="14">
        <v>20</v>
      </c>
      <c r="E11" s="14">
        <v>20</v>
      </c>
    </row>
    <row r="12" spans="1:5" ht="15.75" customHeight="1" x14ac:dyDescent="0.25">
      <c r="A12" s="13">
        <v>9</v>
      </c>
      <c r="B12" s="13">
        <f t="shared" si="0"/>
        <v>10</v>
      </c>
      <c r="C12" s="14">
        <v>20</v>
      </c>
      <c r="D12" s="14">
        <v>20</v>
      </c>
      <c r="E12" s="14">
        <v>20</v>
      </c>
    </row>
    <row r="13" spans="1:5" ht="15.75" customHeight="1" x14ac:dyDescent="0.25">
      <c r="A13" s="13">
        <v>10</v>
      </c>
      <c r="B13" s="13">
        <f t="shared" si="0"/>
        <v>11</v>
      </c>
      <c r="C13" s="14">
        <v>20</v>
      </c>
      <c r="D13" s="14">
        <v>20</v>
      </c>
      <c r="E13" s="14">
        <v>20</v>
      </c>
    </row>
    <row r="14" spans="1:5" ht="15.75" customHeight="1" x14ac:dyDescent="0.25">
      <c r="A14" s="13">
        <v>11</v>
      </c>
      <c r="B14" s="13">
        <f t="shared" si="0"/>
        <v>12</v>
      </c>
      <c r="C14" s="14">
        <v>20</v>
      </c>
      <c r="D14" s="14">
        <v>20</v>
      </c>
      <c r="E14" s="14">
        <v>20</v>
      </c>
    </row>
    <row r="15" spans="1:5" ht="15.75" customHeight="1" x14ac:dyDescent="0.25">
      <c r="A15" s="13">
        <v>12</v>
      </c>
      <c r="B15" s="13">
        <f t="shared" si="0"/>
        <v>13</v>
      </c>
      <c r="C15" s="14">
        <v>20</v>
      </c>
      <c r="D15" s="14">
        <v>20</v>
      </c>
      <c r="E15" s="14">
        <v>20</v>
      </c>
    </row>
    <row r="16" spans="1:5" ht="15.75" customHeight="1" x14ac:dyDescent="0.25">
      <c r="A16" s="13">
        <v>13</v>
      </c>
      <c r="B16" s="13">
        <f t="shared" si="0"/>
        <v>14</v>
      </c>
      <c r="C16" s="14">
        <v>20</v>
      </c>
      <c r="D16" s="14">
        <v>20</v>
      </c>
      <c r="E16" s="14">
        <v>20</v>
      </c>
    </row>
    <row r="17" spans="1:5" ht="15.75" customHeight="1" x14ac:dyDescent="0.25">
      <c r="A17" s="13">
        <v>14</v>
      </c>
      <c r="B17" s="13">
        <f t="shared" si="0"/>
        <v>15</v>
      </c>
      <c r="C17" s="14">
        <v>20</v>
      </c>
      <c r="D17" s="14">
        <v>20</v>
      </c>
      <c r="E17" s="14">
        <v>20</v>
      </c>
    </row>
    <row r="18" spans="1:5" ht="15.75" customHeight="1" x14ac:dyDescent="0.25">
      <c r="A18" s="13">
        <v>15</v>
      </c>
      <c r="B18" s="13">
        <f t="shared" si="0"/>
        <v>16</v>
      </c>
      <c r="C18" s="14">
        <v>20</v>
      </c>
      <c r="D18" s="14">
        <v>20</v>
      </c>
      <c r="E18" s="14">
        <v>20</v>
      </c>
    </row>
    <row r="19" spans="1:5" ht="15.75" customHeight="1" x14ac:dyDescent="0.25">
      <c r="A19" s="13">
        <v>16</v>
      </c>
      <c r="B19" s="13">
        <f t="shared" si="0"/>
        <v>17</v>
      </c>
      <c r="C19" s="14">
        <v>20</v>
      </c>
      <c r="D19" s="14">
        <v>20</v>
      </c>
      <c r="E19" s="14">
        <v>20</v>
      </c>
    </row>
    <row r="20" spans="1:5" ht="15.75" customHeight="1" x14ac:dyDescent="0.25">
      <c r="A20" s="13">
        <v>17</v>
      </c>
      <c r="B20" s="13">
        <f t="shared" si="0"/>
        <v>18</v>
      </c>
      <c r="C20" s="14">
        <v>20</v>
      </c>
      <c r="D20" s="14">
        <v>20</v>
      </c>
      <c r="E20" s="14">
        <v>20</v>
      </c>
    </row>
    <row r="21" spans="1:5" ht="15.75" customHeight="1" x14ac:dyDescent="0.25">
      <c r="A21" s="13">
        <v>18</v>
      </c>
      <c r="B21" s="13">
        <f t="shared" si="0"/>
        <v>19</v>
      </c>
      <c r="C21" s="14">
        <v>20</v>
      </c>
      <c r="D21" s="14">
        <v>20</v>
      </c>
      <c r="E21" s="14">
        <v>20</v>
      </c>
    </row>
    <row r="22" spans="1:5" ht="15.75" customHeight="1" x14ac:dyDescent="0.25">
      <c r="A22" s="13">
        <v>19</v>
      </c>
      <c r="B22" s="13">
        <f t="shared" si="0"/>
        <v>20</v>
      </c>
      <c r="C22" s="14">
        <v>20</v>
      </c>
      <c r="D22" s="14">
        <v>20</v>
      </c>
      <c r="E22" s="14">
        <v>20</v>
      </c>
    </row>
    <row r="23" spans="1:5" ht="15.75" customHeight="1" x14ac:dyDescent="0.25">
      <c r="A23" s="13">
        <v>20</v>
      </c>
      <c r="B23" s="13">
        <f t="shared" si="0"/>
        <v>21</v>
      </c>
      <c r="C23" s="14">
        <v>20</v>
      </c>
      <c r="D23" s="14">
        <v>20</v>
      </c>
      <c r="E23" s="14">
        <v>20</v>
      </c>
    </row>
    <row r="24" spans="1:5" ht="15.75" customHeight="1" x14ac:dyDescent="0.25">
      <c r="A24" s="13">
        <v>21</v>
      </c>
      <c r="B24" s="13">
        <f t="shared" si="0"/>
        <v>22</v>
      </c>
      <c r="C24" s="14">
        <v>20</v>
      </c>
      <c r="D24" s="14">
        <v>20</v>
      </c>
      <c r="E24" s="14">
        <v>20</v>
      </c>
    </row>
    <row r="25" spans="1:5" ht="15.75" customHeight="1" x14ac:dyDescent="0.25">
      <c r="A25" s="13">
        <v>22</v>
      </c>
      <c r="B25" s="13">
        <f t="shared" si="0"/>
        <v>23</v>
      </c>
      <c r="C25" s="14">
        <v>20</v>
      </c>
      <c r="D25" s="14">
        <v>20</v>
      </c>
      <c r="E25" s="14">
        <v>20</v>
      </c>
    </row>
    <row r="26" spans="1:5" ht="15.75" customHeight="1" x14ac:dyDescent="0.25">
      <c r="A26" s="13">
        <v>23</v>
      </c>
      <c r="B26" s="13">
        <f t="shared" si="0"/>
        <v>24</v>
      </c>
      <c r="C26" s="14">
        <v>20</v>
      </c>
      <c r="D26" s="14">
        <v>20</v>
      </c>
      <c r="E26" s="14">
        <v>20</v>
      </c>
    </row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11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S15"/>
  <sheetViews>
    <sheetView workbookViewId="0">
      <selection activeCell="J16" sqref="J16"/>
    </sheetView>
  </sheetViews>
  <sheetFormatPr baseColWidth="10" defaultColWidth="11.25" defaultRowHeight="15" customHeight="1" x14ac:dyDescent="0.25"/>
  <sheetData>
    <row r="1" spans="1:19" ht="15" customHeight="1" x14ac:dyDescent="0.25">
      <c r="A1" s="1" t="s">
        <v>0</v>
      </c>
      <c r="B1" s="2" t="s">
        <v>6</v>
      </c>
      <c r="C1" s="3" t="s">
        <v>29</v>
      </c>
      <c r="D1" s="3" t="s">
        <v>43</v>
      </c>
      <c r="E1" s="15" t="s">
        <v>47</v>
      </c>
      <c r="F1" s="20" t="s">
        <v>7</v>
      </c>
      <c r="G1" s="20" t="s">
        <v>64</v>
      </c>
      <c r="H1" s="20" t="s">
        <v>66</v>
      </c>
      <c r="I1" s="20" t="s">
        <v>67</v>
      </c>
      <c r="J1" s="20" t="s">
        <v>68</v>
      </c>
      <c r="K1" s="20" t="s">
        <v>75</v>
      </c>
      <c r="L1" s="20" t="s">
        <v>69</v>
      </c>
      <c r="M1" s="20" t="s">
        <v>70</v>
      </c>
      <c r="N1" s="20" t="s">
        <v>71</v>
      </c>
      <c r="O1" s="20" t="s">
        <v>72</v>
      </c>
      <c r="P1" s="26" t="s">
        <v>85</v>
      </c>
      <c r="Q1" s="26" t="s">
        <v>86</v>
      </c>
      <c r="R1" s="26" t="s">
        <v>87</v>
      </c>
      <c r="S1" s="26" t="s">
        <v>88</v>
      </c>
    </row>
    <row r="2" spans="1:19" ht="15" customHeight="1" x14ac:dyDescent="0.25">
      <c r="A2" s="4" t="s">
        <v>2</v>
      </c>
      <c r="B2" s="2" t="s">
        <v>8</v>
      </c>
      <c r="C2" s="2" t="s">
        <v>4</v>
      </c>
      <c r="D2" s="2" t="s">
        <v>74</v>
      </c>
      <c r="E2" s="15" t="s">
        <v>74</v>
      </c>
      <c r="F2" s="20" t="s">
        <v>2</v>
      </c>
      <c r="G2" s="20" t="s">
        <v>65</v>
      </c>
      <c r="H2" s="20" t="s">
        <v>76</v>
      </c>
      <c r="I2" s="20" t="s">
        <v>77</v>
      </c>
      <c r="J2" s="20" t="s">
        <v>77</v>
      </c>
      <c r="K2" s="20" t="s">
        <v>78</v>
      </c>
      <c r="L2" s="20" t="s">
        <v>2</v>
      </c>
      <c r="M2" s="20" t="s">
        <v>2</v>
      </c>
      <c r="N2" s="20" t="s">
        <v>73</v>
      </c>
      <c r="O2" s="20" t="s">
        <v>73</v>
      </c>
      <c r="P2" s="26"/>
      <c r="Q2" s="26"/>
      <c r="R2" s="26"/>
    </row>
    <row r="3" spans="1:19" ht="15" customHeight="1" x14ac:dyDescent="0.25">
      <c r="A3" s="7">
        <v>1</v>
      </c>
      <c r="B3" s="8" t="s">
        <v>52</v>
      </c>
      <c r="C3" s="9">
        <f t="shared" ref="C3:C14" si="0">100%</f>
        <v>1</v>
      </c>
      <c r="D3" s="9">
        <f>E3*0.1</f>
        <v>30</v>
      </c>
      <c r="E3" s="11">
        <v>300</v>
      </c>
      <c r="F3" s="8">
        <v>650</v>
      </c>
      <c r="G3" s="22">
        <v>30</v>
      </c>
      <c r="H3" s="23">
        <v>20</v>
      </c>
      <c r="I3" s="23">
        <v>2</v>
      </c>
      <c r="J3" s="23">
        <v>1</v>
      </c>
      <c r="K3" s="23">
        <v>0</v>
      </c>
      <c r="L3" s="24">
        <v>3</v>
      </c>
      <c r="M3" s="24">
        <v>2</v>
      </c>
      <c r="N3" s="24">
        <v>10</v>
      </c>
      <c r="O3" s="24">
        <v>10</v>
      </c>
      <c r="P3" s="24">
        <v>1</v>
      </c>
      <c r="Q3" s="24">
        <v>1</v>
      </c>
      <c r="R3" s="24">
        <v>1</v>
      </c>
      <c r="S3" s="24">
        <v>1</v>
      </c>
    </row>
    <row r="4" spans="1:19" ht="15" customHeight="1" x14ac:dyDescent="0.25">
      <c r="A4" s="7">
        <f>A3+1</f>
        <v>2</v>
      </c>
      <c r="B4" s="8" t="s">
        <v>53</v>
      </c>
      <c r="C4" s="9">
        <f t="shared" si="0"/>
        <v>1</v>
      </c>
      <c r="D4" s="9">
        <f t="shared" ref="D4:D14" si="1">E4*0.1</f>
        <v>30</v>
      </c>
      <c r="E4" s="11">
        <v>300</v>
      </c>
      <c r="F4" s="8">
        <v>632</v>
      </c>
      <c r="G4" s="22">
        <v>30</v>
      </c>
      <c r="H4" s="23">
        <v>10</v>
      </c>
      <c r="I4" s="23">
        <v>2</v>
      </c>
      <c r="J4" s="23">
        <v>1</v>
      </c>
      <c r="K4" s="23">
        <v>0</v>
      </c>
      <c r="L4" s="24">
        <v>3</v>
      </c>
      <c r="M4" s="24">
        <v>2</v>
      </c>
      <c r="N4" s="24">
        <v>10</v>
      </c>
      <c r="O4" s="24">
        <v>10</v>
      </c>
      <c r="P4" s="24">
        <v>1</v>
      </c>
      <c r="Q4" s="24">
        <v>1</v>
      </c>
      <c r="R4" s="24">
        <v>1</v>
      </c>
      <c r="S4" s="24">
        <v>1</v>
      </c>
    </row>
    <row r="5" spans="1:19" ht="15" customHeight="1" x14ac:dyDescent="0.25">
      <c r="A5" s="7">
        <f t="shared" ref="A5:A14" si="2">A4+1</f>
        <v>3</v>
      </c>
      <c r="B5" s="8" t="s">
        <v>54</v>
      </c>
      <c r="C5" s="9">
        <f t="shared" si="0"/>
        <v>1</v>
      </c>
      <c r="D5" s="9">
        <f t="shared" si="1"/>
        <v>30</v>
      </c>
      <c r="E5" s="11">
        <v>300</v>
      </c>
      <c r="F5" s="8">
        <v>633</v>
      </c>
      <c r="G5" s="22">
        <v>30</v>
      </c>
      <c r="H5" s="23">
        <v>5</v>
      </c>
      <c r="I5" s="23">
        <v>2</v>
      </c>
      <c r="J5" s="23">
        <v>1</v>
      </c>
      <c r="K5" s="23">
        <v>0</v>
      </c>
      <c r="L5" s="24">
        <v>3</v>
      </c>
      <c r="M5" s="24">
        <v>2</v>
      </c>
      <c r="N5" s="24">
        <v>10</v>
      </c>
      <c r="O5" s="24">
        <v>10</v>
      </c>
      <c r="P5" s="24">
        <v>1</v>
      </c>
      <c r="Q5" s="24">
        <v>1</v>
      </c>
      <c r="R5" s="24">
        <v>1</v>
      </c>
      <c r="S5" s="24">
        <v>1</v>
      </c>
    </row>
    <row r="6" spans="1:19" ht="15" customHeight="1" x14ac:dyDescent="0.25">
      <c r="A6" s="7">
        <f t="shared" si="2"/>
        <v>4</v>
      </c>
      <c r="B6" s="8" t="s">
        <v>55</v>
      </c>
      <c r="C6" s="9">
        <f t="shared" si="0"/>
        <v>1</v>
      </c>
      <c r="D6" s="9">
        <f t="shared" si="1"/>
        <v>30</v>
      </c>
      <c r="E6" s="11">
        <v>300</v>
      </c>
      <c r="F6" s="8">
        <v>634</v>
      </c>
      <c r="G6" s="22">
        <v>30</v>
      </c>
      <c r="H6" s="23">
        <v>5</v>
      </c>
      <c r="I6" s="23">
        <v>2</v>
      </c>
      <c r="J6" s="23">
        <v>1</v>
      </c>
      <c r="K6" s="23">
        <v>0</v>
      </c>
      <c r="L6" s="24">
        <v>3</v>
      </c>
      <c r="M6" s="24">
        <v>2</v>
      </c>
      <c r="N6" s="24">
        <v>10</v>
      </c>
      <c r="O6" s="24">
        <v>10</v>
      </c>
      <c r="P6" s="24">
        <v>1</v>
      </c>
      <c r="Q6" s="24">
        <v>1</v>
      </c>
      <c r="R6" s="24">
        <v>1</v>
      </c>
      <c r="S6" s="24">
        <v>1</v>
      </c>
    </row>
    <row r="7" spans="1:19" ht="15" customHeight="1" x14ac:dyDescent="0.25">
      <c r="A7" s="7">
        <f t="shared" si="2"/>
        <v>5</v>
      </c>
      <c r="B7" s="8" t="s">
        <v>56</v>
      </c>
      <c r="C7" s="9">
        <f t="shared" si="0"/>
        <v>1</v>
      </c>
      <c r="D7" s="9">
        <f t="shared" si="1"/>
        <v>30</v>
      </c>
      <c r="E7" s="11">
        <v>300</v>
      </c>
      <c r="F7" s="8">
        <v>645</v>
      </c>
      <c r="G7" s="22">
        <v>30</v>
      </c>
      <c r="H7" s="23">
        <v>20</v>
      </c>
      <c r="I7" s="23">
        <v>2</v>
      </c>
      <c r="J7" s="23">
        <v>1</v>
      </c>
      <c r="K7" s="23">
        <v>0</v>
      </c>
      <c r="L7" s="24">
        <v>3</v>
      </c>
      <c r="M7" s="24">
        <v>2</v>
      </c>
      <c r="N7" s="24">
        <v>10</v>
      </c>
      <c r="O7" s="24">
        <v>10</v>
      </c>
      <c r="P7" s="24">
        <v>1</v>
      </c>
      <c r="Q7" s="24">
        <v>1</v>
      </c>
      <c r="R7" s="24">
        <v>1</v>
      </c>
      <c r="S7" s="24">
        <v>1</v>
      </c>
    </row>
    <row r="8" spans="1:19" ht="15" customHeight="1" x14ac:dyDescent="0.25">
      <c r="A8" s="7">
        <f t="shared" si="2"/>
        <v>6</v>
      </c>
      <c r="B8" s="8" t="s">
        <v>57</v>
      </c>
      <c r="C8" s="9">
        <f t="shared" si="0"/>
        <v>1</v>
      </c>
      <c r="D8" s="9">
        <f t="shared" si="1"/>
        <v>30</v>
      </c>
      <c r="E8" s="11">
        <v>300</v>
      </c>
      <c r="F8" s="8">
        <v>646</v>
      </c>
      <c r="G8" s="22">
        <v>30</v>
      </c>
      <c r="H8" s="23">
        <v>10</v>
      </c>
      <c r="I8" s="23">
        <v>2</v>
      </c>
      <c r="J8" s="23">
        <v>1</v>
      </c>
      <c r="K8" s="23">
        <v>0</v>
      </c>
      <c r="L8" s="24">
        <v>3</v>
      </c>
      <c r="M8" s="24">
        <v>2</v>
      </c>
      <c r="N8" s="24">
        <v>10</v>
      </c>
      <c r="O8" s="24">
        <v>10</v>
      </c>
      <c r="P8" s="24">
        <v>1</v>
      </c>
      <c r="Q8" s="24">
        <v>1</v>
      </c>
      <c r="R8" s="24">
        <v>1</v>
      </c>
      <c r="S8" s="24">
        <v>1</v>
      </c>
    </row>
    <row r="9" spans="1:19" ht="15" customHeight="1" x14ac:dyDescent="0.25">
      <c r="A9" s="7">
        <f t="shared" si="2"/>
        <v>7</v>
      </c>
      <c r="B9" s="8" t="s">
        <v>58</v>
      </c>
      <c r="C9" s="9">
        <f t="shared" si="0"/>
        <v>1</v>
      </c>
      <c r="D9" s="9">
        <f t="shared" si="1"/>
        <v>30</v>
      </c>
      <c r="E9" s="11">
        <v>300</v>
      </c>
      <c r="F9" s="8">
        <v>670</v>
      </c>
      <c r="G9" s="22">
        <v>30</v>
      </c>
      <c r="H9" s="23">
        <v>5</v>
      </c>
      <c r="I9" s="23">
        <v>2</v>
      </c>
      <c r="J9" s="23">
        <v>1</v>
      </c>
      <c r="K9" s="23">
        <v>0</v>
      </c>
      <c r="L9" s="24">
        <v>3</v>
      </c>
      <c r="M9" s="24">
        <v>2</v>
      </c>
      <c r="N9" s="24">
        <v>10</v>
      </c>
      <c r="O9" s="24">
        <v>10</v>
      </c>
      <c r="P9" s="24">
        <v>1</v>
      </c>
      <c r="Q9" s="24">
        <v>1</v>
      </c>
      <c r="R9" s="24">
        <v>1</v>
      </c>
      <c r="S9" s="24">
        <v>1</v>
      </c>
    </row>
    <row r="10" spans="1:19" ht="15" customHeight="1" x14ac:dyDescent="0.25">
      <c r="A10" s="7">
        <f t="shared" si="2"/>
        <v>8</v>
      </c>
      <c r="B10" s="8" t="s">
        <v>59</v>
      </c>
      <c r="C10" s="9">
        <f t="shared" si="0"/>
        <v>1</v>
      </c>
      <c r="D10" s="9">
        <f t="shared" si="1"/>
        <v>30</v>
      </c>
      <c r="E10" s="11">
        <v>300</v>
      </c>
      <c r="F10" s="8">
        <v>671</v>
      </c>
      <c r="G10" s="22">
        <v>30</v>
      </c>
      <c r="H10" s="23">
        <v>5</v>
      </c>
      <c r="I10" s="23">
        <v>2</v>
      </c>
      <c r="J10" s="23">
        <v>1</v>
      </c>
      <c r="K10" s="23">
        <v>0</v>
      </c>
      <c r="L10" s="24">
        <v>3</v>
      </c>
      <c r="M10" s="24">
        <v>2</v>
      </c>
      <c r="N10" s="24">
        <v>10</v>
      </c>
      <c r="O10" s="24">
        <v>10</v>
      </c>
      <c r="P10" s="24">
        <v>1</v>
      </c>
      <c r="Q10" s="24">
        <v>1</v>
      </c>
      <c r="R10" s="24">
        <v>1</v>
      </c>
      <c r="S10" s="24">
        <v>1</v>
      </c>
    </row>
    <row r="11" spans="1:19" ht="15" customHeight="1" x14ac:dyDescent="0.25">
      <c r="A11" s="7">
        <f t="shared" si="2"/>
        <v>9</v>
      </c>
      <c r="B11" s="8" t="s">
        <v>60</v>
      </c>
      <c r="C11" s="9">
        <f t="shared" si="0"/>
        <v>1</v>
      </c>
      <c r="D11" s="9">
        <f t="shared" si="1"/>
        <v>30</v>
      </c>
      <c r="E11" s="11">
        <v>300</v>
      </c>
      <c r="F11" s="8">
        <v>692</v>
      </c>
      <c r="G11" s="22">
        <v>30</v>
      </c>
      <c r="H11" s="23">
        <v>20</v>
      </c>
      <c r="I11" s="23">
        <v>2</v>
      </c>
      <c r="J11" s="23">
        <v>1</v>
      </c>
      <c r="K11" s="23">
        <v>0</v>
      </c>
      <c r="L11" s="24">
        <v>3</v>
      </c>
      <c r="M11" s="24">
        <v>2</v>
      </c>
      <c r="N11" s="24">
        <v>10</v>
      </c>
      <c r="O11" s="24">
        <v>10</v>
      </c>
      <c r="P11" s="24">
        <v>1</v>
      </c>
      <c r="Q11" s="24">
        <v>1</v>
      </c>
      <c r="R11" s="24">
        <v>1</v>
      </c>
      <c r="S11" s="24">
        <v>1</v>
      </c>
    </row>
    <row r="12" spans="1:19" ht="15" customHeight="1" x14ac:dyDescent="0.25">
      <c r="A12" s="7">
        <f t="shared" si="2"/>
        <v>10</v>
      </c>
      <c r="B12" s="8" t="s">
        <v>61</v>
      </c>
      <c r="C12" s="9">
        <f t="shared" si="0"/>
        <v>1</v>
      </c>
      <c r="D12" s="9">
        <f t="shared" si="1"/>
        <v>30</v>
      </c>
      <c r="E12" s="11">
        <v>300</v>
      </c>
      <c r="F12" s="8">
        <v>675</v>
      </c>
      <c r="G12" s="22">
        <v>30</v>
      </c>
      <c r="H12" s="23">
        <v>10</v>
      </c>
      <c r="I12" s="23">
        <v>2</v>
      </c>
      <c r="J12" s="23">
        <v>1</v>
      </c>
      <c r="K12" s="23">
        <v>0</v>
      </c>
      <c r="L12" s="24">
        <v>3</v>
      </c>
      <c r="M12" s="24">
        <v>2</v>
      </c>
      <c r="N12" s="24">
        <v>10</v>
      </c>
      <c r="O12" s="24">
        <v>10</v>
      </c>
      <c r="P12" s="24">
        <v>1</v>
      </c>
      <c r="Q12" s="24">
        <v>1</v>
      </c>
      <c r="R12" s="24">
        <v>1</v>
      </c>
      <c r="S12" s="24">
        <v>1</v>
      </c>
    </row>
    <row r="13" spans="1:19" ht="15" customHeight="1" x14ac:dyDescent="0.25">
      <c r="A13" s="7">
        <f t="shared" si="2"/>
        <v>11</v>
      </c>
      <c r="B13" s="8" t="s">
        <v>62</v>
      </c>
      <c r="C13" s="9">
        <f t="shared" si="0"/>
        <v>1</v>
      </c>
      <c r="D13" s="9">
        <f t="shared" si="1"/>
        <v>30</v>
      </c>
      <c r="E13" s="11">
        <v>300</v>
      </c>
      <c r="F13" s="8">
        <v>684</v>
      </c>
      <c r="G13" s="22">
        <v>30</v>
      </c>
      <c r="H13" s="23">
        <v>5</v>
      </c>
      <c r="I13" s="23">
        <v>2</v>
      </c>
      <c r="J13" s="23">
        <v>1</v>
      </c>
      <c r="K13" s="23">
        <v>0</v>
      </c>
      <c r="L13" s="24">
        <v>3</v>
      </c>
      <c r="M13" s="24">
        <v>2</v>
      </c>
      <c r="N13" s="24">
        <v>10</v>
      </c>
      <c r="O13" s="24">
        <v>10</v>
      </c>
      <c r="P13" s="24">
        <v>1</v>
      </c>
      <c r="Q13" s="24">
        <v>1</v>
      </c>
      <c r="R13" s="24">
        <v>1</v>
      </c>
      <c r="S13" s="24">
        <v>1</v>
      </c>
    </row>
    <row r="14" spans="1:19" ht="15" customHeight="1" x14ac:dyDescent="0.25">
      <c r="A14" s="7">
        <f t="shared" si="2"/>
        <v>12</v>
      </c>
      <c r="B14" s="8" t="s">
        <v>63</v>
      </c>
      <c r="C14" s="9">
        <f t="shared" si="0"/>
        <v>1</v>
      </c>
      <c r="D14" s="9">
        <f t="shared" si="1"/>
        <v>30</v>
      </c>
      <c r="E14" s="11">
        <v>300</v>
      </c>
      <c r="F14" s="8">
        <v>611</v>
      </c>
      <c r="G14" s="22">
        <v>30</v>
      </c>
      <c r="H14" s="23">
        <v>5</v>
      </c>
      <c r="I14" s="23">
        <v>2</v>
      </c>
      <c r="J14" s="23">
        <v>1</v>
      </c>
      <c r="K14" s="23">
        <v>0</v>
      </c>
      <c r="L14" s="24">
        <v>3</v>
      </c>
      <c r="M14" s="24">
        <v>2</v>
      </c>
      <c r="N14" s="24">
        <v>10</v>
      </c>
      <c r="O14" s="24">
        <v>10</v>
      </c>
      <c r="P14" s="24">
        <v>1</v>
      </c>
      <c r="Q14" s="24">
        <v>1</v>
      </c>
      <c r="R14" s="24">
        <v>1</v>
      </c>
      <c r="S14" s="24">
        <v>1</v>
      </c>
    </row>
    <row r="15" spans="1:19" ht="15" customHeight="1" x14ac:dyDescent="0.25">
      <c r="H15" s="25"/>
      <c r="I15" s="25"/>
      <c r="J15" s="25"/>
      <c r="K15" s="25"/>
      <c r="L15" s="25"/>
      <c r="M15" s="25"/>
    </row>
  </sheetData>
  <phoneticPr fontId="11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workbookViewId="0">
      <selection activeCell="H34" sqref="H34"/>
    </sheetView>
  </sheetViews>
  <sheetFormatPr baseColWidth="10" defaultColWidth="11.25" defaultRowHeight="15" customHeight="1" x14ac:dyDescent="0.25"/>
  <cols>
    <col min="1" max="24" width="10.5" customWidth="1"/>
  </cols>
  <sheetData>
    <row r="1" spans="1:7" ht="15.75" customHeight="1" x14ac:dyDescent="0.25">
      <c r="A1" s="1" t="s">
        <v>0</v>
      </c>
      <c r="B1" s="2" t="s">
        <v>10</v>
      </c>
      <c r="C1" s="3" t="s">
        <v>11</v>
      </c>
      <c r="D1" s="2" t="s">
        <v>12</v>
      </c>
      <c r="E1" s="2" t="s">
        <v>13</v>
      </c>
      <c r="F1" s="4" t="s">
        <v>14</v>
      </c>
      <c r="G1" s="17" t="s">
        <v>15</v>
      </c>
    </row>
    <row r="2" spans="1:7" ht="15.75" customHeight="1" x14ac:dyDescent="0.25">
      <c r="A2" s="4" t="s">
        <v>4</v>
      </c>
      <c r="B2" s="2" t="s">
        <v>2</v>
      </c>
      <c r="C2" s="2" t="s">
        <v>2</v>
      </c>
      <c r="D2" s="6" t="s">
        <v>16</v>
      </c>
      <c r="E2" s="6" t="s">
        <v>16</v>
      </c>
      <c r="F2" s="4" t="s">
        <v>9</v>
      </c>
      <c r="G2" s="6" t="s">
        <v>9</v>
      </c>
    </row>
    <row r="3" spans="1:7" ht="15.75" customHeight="1" x14ac:dyDescent="0.25">
      <c r="A3" s="7" t="s">
        <v>17</v>
      </c>
      <c r="B3" s="8">
        <v>650</v>
      </c>
      <c r="C3" s="8">
        <v>632</v>
      </c>
      <c r="D3" s="9">
        <v>2.98E-2</v>
      </c>
      <c r="E3" s="10">
        <v>0.11</v>
      </c>
      <c r="F3" s="11">
        <f t="shared" ref="F3:F13" si="0">D3*1000</f>
        <v>29.8</v>
      </c>
      <c r="G3" s="17">
        <f>E3*10000</f>
        <v>1100</v>
      </c>
    </row>
    <row r="4" spans="1:7" ht="15.75" customHeight="1" x14ac:dyDescent="0.25">
      <c r="A4" s="7" t="s">
        <v>18</v>
      </c>
      <c r="B4" s="8">
        <v>632</v>
      </c>
      <c r="C4" s="8">
        <v>645</v>
      </c>
      <c r="D4" s="9">
        <v>1.4E-2</v>
      </c>
      <c r="E4" s="10">
        <v>0.6</v>
      </c>
      <c r="F4" s="11">
        <f t="shared" si="0"/>
        <v>14</v>
      </c>
      <c r="G4" s="17">
        <f t="shared" ref="G4:G13" si="1">E4*10000</f>
        <v>6000</v>
      </c>
    </row>
    <row r="5" spans="1:7" ht="15.75" customHeight="1" x14ac:dyDescent="0.25">
      <c r="A5" s="7" t="s">
        <v>19</v>
      </c>
      <c r="B5" s="8">
        <v>645</v>
      </c>
      <c r="C5" s="8">
        <v>646</v>
      </c>
      <c r="D5" s="9">
        <v>6.6600000000000006E-2</v>
      </c>
      <c r="E5" s="10">
        <v>0.05</v>
      </c>
      <c r="F5" s="11">
        <f t="shared" si="0"/>
        <v>66.600000000000009</v>
      </c>
      <c r="G5" s="17">
        <f t="shared" si="1"/>
        <v>500</v>
      </c>
    </row>
    <row r="6" spans="1:7" ht="15.75" customHeight="1" x14ac:dyDescent="0.25">
      <c r="A6" s="7" t="s">
        <v>20</v>
      </c>
      <c r="B6" s="8">
        <v>632</v>
      </c>
      <c r="C6" s="8">
        <v>633</v>
      </c>
      <c r="D6" s="9">
        <v>1.5100000000000001E-2</v>
      </c>
      <c r="E6" s="10">
        <v>0.04</v>
      </c>
      <c r="F6" s="11">
        <f t="shared" si="0"/>
        <v>15.100000000000001</v>
      </c>
      <c r="G6" s="17">
        <f t="shared" si="1"/>
        <v>400</v>
      </c>
    </row>
    <row r="7" spans="1:7" ht="15.75" customHeight="1" x14ac:dyDescent="0.25">
      <c r="A7" s="7" t="s">
        <v>21</v>
      </c>
      <c r="B7" s="8">
        <v>633</v>
      </c>
      <c r="C7" s="8">
        <v>634</v>
      </c>
      <c r="D7" s="18">
        <v>0.2185</v>
      </c>
      <c r="E7" s="10">
        <v>0.03</v>
      </c>
      <c r="F7" s="11">
        <f t="shared" si="0"/>
        <v>218.5</v>
      </c>
      <c r="G7" s="17">
        <f t="shared" si="1"/>
        <v>300</v>
      </c>
    </row>
    <row r="8" spans="1:7" ht="15.75" customHeight="1" x14ac:dyDescent="0.25">
      <c r="A8" s="7" t="s">
        <v>22</v>
      </c>
      <c r="B8" s="8">
        <v>632</v>
      </c>
      <c r="C8" s="8">
        <v>670</v>
      </c>
      <c r="D8" s="18">
        <v>0.20799999999999999</v>
      </c>
      <c r="E8" s="10">
        <v>0.08</v>
      </c>
      <c r="F8" s="11">
        <f t="shared" si="0"/>
        <v>208</v>
      </c>
      <c r="G8" s="17">
        <f t="shared" si="1"/>
        <v>800</v>
      </c>
    </row>
    <row r="9" spans="1:7" ht="15.75" customHeight="1" x14ac:dyDescent="0.25">
      <c r="A9" s="7" t="s">
        <v>23</v>
      </c>
      <c r="B9" s="8">
        <v>670</v>
      </c>
      <c r="C9" s="8">
        <v>671</v>
      </c>
      <c r="D9" s="18">
        <v>8.4500000000000006E-2</v>
      </c>
      <c r="E9" s="10">
        <v>0.08</v>
      </c>
      <c r="F9" s="11">
        <f t="shared" si="0"/>
        <v>84.5</v>
      </c>
      <c r="G9" s="17">
        <f t="shared" si="1"/>
        <v>800</v>
      </c>
    </row>
    <row r="10" spans="1:7" ht="15.75" customHeight="1" x14ac:dyDescent="0.25">
      <c r="A10" s="7" t="s">
        <v>24</v>
      </c>
      <c r="B10" s="8">
        <v>671</v>
      </c>
      <c r="C10" s="8">
        <v>684</v>
      </c>
      <c r="D10" s="18">
        <v>1.7000000000000001E-2</v>
      </c>
      <c r="E10" s="10">
        <v>0.04</v>
      </c>
      <c r="F10" s="11">
        <f t="shared" si="0"/>
        <v>17</v>
      </c>
      <c r="G10" s="17">
        <f t="shared" si="1"/>
        <v>400</v>
      </c>
    </row>
    <row r="11" spans="1:7" ht="15.75" customHeight="1" x14ac:dyDescent="0.25">
      <c r="A11" s="7" t="s">
        <v>25</v>
      </c>
      <c r="B11" s="8">
        <v>684</v>
      </c>
      <c r="C11" s="8">
        <v>611</v>
      </c>
      <c r="D11" s="18">
        <v>0.1037</v>
      </c>
      <c r="E11" s="10">
        <v>0.03</v>
      </c>
      <c r="F11" s="11">
        <f t="shared" si="0"/>
        <v>103.7</v>
      </c>
      <c r="G11" s="17">
        <f t="shared" si="1"/>
        <v>300</v>
      </c>
    </row>
    <row r="12" spans="1:7" ht="15.75" customHeight="1" x14ac:dyDescent="0.25">
      <c r="A12" s="7" t="s">
        <v>26</v>
      </c>
      <c r="B12" s="8">
        <v>671</v>
      </c>
      <c r="C12" s="8">
        <v>692</v>
      </c>
      <c r="D12" s="18">
        <v>1E-4</v>
      </c>
      <c r="E12" s="10">
        <v>0.04</v>
      </c>
      <c r="F12" s="11">
        <f t="shared" si="0"/>
        <v>0.1</v>
      </c>
      <c r="G12" s="17">
        <f t="shared" si="1"/>
        <v>400</v>
      </c>
    </row>
    <row r="13" spans="1:7" ht="15.75" customHeight="1" x14ac:dyDescent="0.25">
      <c r="A13" s="7" t="s">
        <v>27</v>
      </c>
      <c r="B13" s="8">
        <v>692</v>
      </c>
      <c r="C13" s="8">
        <v>675</v>
      </c>
      <c r="D13" s="18">
        <v>3.0000000000000001E-3</v>
      </c>
      <c r="E13" s="10">
        <v>0.04</v>
      </c>
      <c r="F13" s="11">
        <f t="shared" si="0"/>
        <v>3</v>
      </c>
      <c r="G13" s="17">
        <f t="shared" si="1"/>
        <v>400</v>
      </c>
    </row>
    <row r="14" spans="1:7" ht="15.75" customHeight="1" x14ac:dyDescent="0.25">
      <c r="A14" s="19"/>
      <c r="B14" s="8"/>
      <c r="C14" s="8"/>
      <c r="D14" s="18"/>
      <c r="E14" s="10"/>
      <c r="F14" s="11"/>
    </row>
    <row r="15" spans="1:7" ht="15.75" customHeight="1" x14ac:dyDescent="0.25">
      <c r="A15" s="7"/>
      <c r="B15" s="8"/>
      <c r="C15" s="8"/>
      <c r="D15" s="18"/>
      <c r="E15" s="10"/>
    </row>
    <row r="16" spans="1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workbookViewId="0">
      <selection activeCell="H31" sqref="H31"/>
    </sheetView>
  </sheetViews>
  <sheetFormatPr baseColWidth="10" defaultColWidth="11.25" defaultRowHeight="15" customHeight="1" x14ac:dyDescent="0.25"/>
  <cols>
    <col min="1" max="26" width="10.5" customWidth="1"/>
  </cols>
  <sheetData>
    <row r="1" spans="1:5" ht="15.75" customHeight="1" x14ac:dyDescent="0.25">
      <c r="A1" s="1" t="s">
        <v>0</v>
      </c>
      <c r="B1" s="2" t="s">
        <v>28</v>
      </c>
      <c r="C1" s="17"/>
    </row>
    <row r="2" spans="1:5" ht="15.75" customHeight="1" x14ac:dyDescent="0.25">
      <c r="A2" s="4" t="s">
        <v>2</v>
      </c>
      <c r="B2" s="2" t="s">
        <v>2</v>
      </c>
      <c r="C2" s="17"/>
    </row>
    <row r="3" spans="1:5" ht="15.75" customHeight="1" x14ac:dyDescent="0.25">
      <c r="A3" s="7">
        <v>1</v>
      </c>
      <c r="B3" s="8">
        <v>650</v>
      </c>
      <c r="C3" s="17"/>
    </row>
    <row r="4" spans="1:5" ht="15.75" customHeight="1" x14ac:dyDescent="0.25">
      <c r="A4" s="7">
        <v>2</v>
      </c>
      <c r="B4" s="8">
        <v>632</v>
      </c>
      <c r="C4" s="17"/>
    </row>
    <row r="5" spans="1:5" ht="15.75" customHeight="1" x14ac:dyDescent="0.25">
      <c r="A5" s="12">
        <v>3</v>
      </c>
      <c r="B5" s="8">
        <v>633</v>
      </c>
      <c r="C5" s="17"/>
    </row>
    <row r="6" spans="1:5" ht="15.75" customHeight="1" x14ac:dyDescent="0.25">
      <c r="A6" s="12">
        <v>4</v>
      </c>
      <c r="B6" s="8">
        <v>634</v>
      </c>
      <c r="C6" s="17"/>
    </row>
    <row r="7" spans="1:5" ht="15.75" customHeight="1" x14ac:dyDescent="0.25">
      <c r="A7" s="7">
        <v>5</v>
      </c>
      <c r="B7" s="8">
        <v>645</v>
      </c>
      <c r="C7" s="17"/>
    </row>
    <row r="8" spans="1:5" ht="15.75" customHeight="1" x14ac:dyDescent="0.25">
      <c r="A8" s="7">
        <v>6</v>
      </c>
      <c r="B8" s="8">
        <v>646</v>
      </c>
      <c r="C8" s="17"/>
    </row>
    <row r="9" spans="1:5" ht="15.75" customHeight="1" x14ac:dyDescent="0.25">
      <c r="A9" s="12">
        <v>7</v>
      </c>
      <c r="B9" s="8">
        <v>670</v>
      </c>
      <c r="C9" s="17"/>
    </row>
    <row r="10" spans="1:5" ht="15.75" customHeight="1" x14ac:dyDescent="0.25">
      <c r="A10" s="12">
        <v>8</v>
      </c>
      <c r="B10" s="8">
        <v>671</v>
      </c>
      <c r="C10" s="17"/>
      <c r="E10" s="16"/>
    </row>
    <row r="11" spans="1:5" ht="15.75" customHeight="1" x14ac:dyDescent="0.25">
      <c r="A11" s="7">
        <v>9</v>
      </c>
      <c r="B11" s="8">
        <v>692</v>
      </c>
      <c r="C11" s="17"/>
    </row>
    <row r="12" spans="1:5" ht="15.75" customHeight="1" x14ac:dyDescent="0.25">
      <c r="A12" s="7">
        <v>10</v>
      </c>
      <c r="B12" s="8">
        <v>675</v>
      </c>
      <c r="C12" s="17"/>
    </row>
    <row r="13" spans="1:5" ht="15.75" customHeight="1" x14ac:dyDescent="0.25">
      <c r="A13" s="12">
        <v>11</v>
      </c>
      <c r="B13" s="8">
        <v>684</v>
      </c>
      <c r="C13" s="17"/>
    </row>
    <row r="14" spans="1:5" ht="15.75" customHeight="1" x14ac:dyDescent="0.25">
      <c r="A14" s="12">
        <v>12</v>
      </c>
      <c r="B14" s="8">
        <v>611</v>
      </c>
      <c r="C14" s="17"/>
    </row>
    <row r="15" spans="1:5" ht="15.75" customHeight="1" x14ac:dyDescent="0.25"/>
    <row r="16" spans="1: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000"/>
  <sheetViews>
    <sheetView tabSelected="1" workbookViewId="0">
      <selection activeCell="F31" sqref="F31"/>
    </sheetView>
  </sheetViews>
  <sheetFormatPr baseColWidth="10" defaultColWidth="11.25" defaultRowHeight="15" customHeight="1" x14ac:dyDescent="0.25"/>
  <cols>
    <col min="2" max="25" width="10.5" customWidth="1"/>
  </cols>
  <sheetData>
    <row r="1" spans="1:13" ht="15.75" customHeight="1" x14ac:dyDescent="0.25">
      <c r="A1" s="2" t="s">
        <v>1</v>
      </c>
      <c r="B1" s="21" t="s">
        <v>31</v>
      </c>
      <c r="C1" s="21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5" t="s">
        <v>38</v>
      </c>
      <c r="J1" s="4" t="s">
        <v>39</v>
      </c>
      <c r="K1" s="4" t="s">
        <v>40</v>
      </c>
      <c r="L1" s="4" t="s">
        <v>41</v>
      </c>
      <c r="M1" s="4" t="s">
        <v>42</v>
      </c>
    </row>
    <row r="2" spans="1:13" ht="15.75" customHeight="1" x14ac:dyDescent="0.25">
      <c r="A2" s="2" t="s">
        <v>2</v>
      </c>
      <c r="B2" s="6" t="s">
        <v>9</v>
      </c>
      <c r="C2" s="2" t="s">
        <v>9</v>
      </c>
      <c r="D2" s="4" t="s">
        <v>9</v>
      </c>
      <c r="E2" s="4" t="s">
        <v>9</v>
      </c>
      <c r="F2" s="4" t="s">
        <v>9</v>
      </c>
      <c r="G2" s="4" t="s">
        <v>9</v>
      </c>
      <c r="H2" s="4" t="s">
        <v>9</v>
      </c>
      <c r="I2" s="5" t="s">
        <v>9</v>
      </c>
      <c r="J2" s="4" t="s">
        <v>9</v>
      </c>
      <c r="K2" s="4" t="s">
        <v>9</v>
      </c>
      <c r="L2" s="4" t="s">
        <v>9</v>
      </c>
      <c r="M2" s="4" t="s">
        <v>9</v>
      </c>
    </row>
    <row r="3" spans="1:13" ht="15.75" customHeight="1" x14ac:dyDescent="0.25">
      <c r="A3" s="8">
        <v>1</v>
      </c>
      <c r="B3" s="8">
        <v>10</v>
      </c>
      <c r="C3" s="8">
        <v>10</v>
      </c>
      <c r="D3" s="8">
        <v>10</v>
      </c>
      <c r="E3" s="8">
        <v>10</v>
      </c>
      <c r="F3" s="8">
        <v>10</v>
      </c>
      <c r="G3" s="8">
        <v>10</v>
      </c>
      <c r="H3" s="8">
        <v>10</v>
      </c>
      <c r="I3" s="8">
        <v>10</v>
      </c>
      <c r="J3" s="8">
        <v>10</v>
      </c>
      <c r="K3" s="8">
        <v>10</v>
      </c>
      <c r="L3" s="8">
        <v>10</v>
      </c>
      <c r="M3" s="8">
        <v>10</v>
      </c>
    </row>
    <row r="4" spans="1:13" ht="15.75" customHeight="1" x14ac:dyDescent="0.25">
      <c r="A4" s="8">
        <f t="shared" ref="A4:A26" si="0">A3+1</f>
        <v>2</v>
      </c>
      <c r="B4" s="8">
        <v>10</v>
      </c>
      <c r="C4" s="8">
        <v>10</v>
      </c>
      <c r="D4" s="8">
        <v>10</v>
      </c>
      <c r="E4" s="8">
        <v>10</v>
      </c>
      <c r="F4" s="8">
        <v>10</v>
      </c>
      <c r="G4" s="8">
        <v>10</v>
      </c>
      <c r="H4" s="8">
        <v>10</v>
      </c>
      <c r="I4" s="8">
        <v>10</v>
      </c>
      <c r="J4" s="8">
        <v>10</v>
      </c>
      <c r="K4" s="8">
        <v>10</v>
      </c>
      <c r="L4" s="8">
        <v>10</v>
      </c>
      <c r="M4" s="8">
        <v>10</v>
      </c>
    </row>
    <row r="5" spans="1:13" ht="15.75" customHeight="1" x14ac:dyDescent="0.25">
      <c r="A5" s="8">
        <f t="shared" si="0"/>
        <v>3</v>
      </c>
      <c r="B5" s="8">
        <v>10</v>
      </c>
      <c r="C5" s="8">
        <v>10</v>
      </c>
      <c r="D5" s="8">
        <v>10</v>
      </c>
      <c r="E5" s="8">
        <v>10</v>
      </c>
      <c r="F5" s="8">
        <v>10</v>
      </c>
      <c r="G5" s="8">
        <v>10</v>
      </c>
      <c r="H5" s="8">
        <v>10</v>
      </c>
      <c r="I5" s="8">
        <v>10</v>
      </c>
      <c r="J5" s="8">
        <v>10</v>
      </c>
      <c r="K5" s="8">
        <v>10</v>
      </c>
      <c r="L5" s="8">
        <v>10</v>
      </c>
      <c r="M5" s="8">
        <v>10</v>
      </c>
    </row>
    <row r="6" spans="1:13" ht="15.75" customHeight="1" x14ac:dyDescent="0.25">
      <c r="A6" s="8">
        <f t="shared" si="0"/>
        <v>4</v>
      </c>
      <c r="B6" s="8">
        <v>10</v>
      </c>
      <c r="C6" s="8">
        <v>10</v>
      </c>
      <c r="D6" s="8">
        <v>10</v>
      </c>
      <c r="E6" s="8">
        <v>10</v>
      </c>
      <c r="F6" s="8">
        <v>10</v>
      </c>
      <c r="G6" s="8">
        <v>10</v>
      </c>
      <c r="H6" s="8">
        <v>10</v>
      </c>
      <c r="I6" s="8">
        <v>10</v>
      </c>
      <c r="J6" s="8">
        <v>10</v>
      </c>
      <c r="K6" s="8">
        <v>10</v>
      </c>
      <c r="L6" s="8">
        <v>10</v>
      </c>
      <c r="M6" s="8">
        <v>10</v>
      </c>
    </row>
    <row r="7" spans="1:13" ht="15.75" customHeight="1" x14ac:dyDescent="0.25">
      <c r="A7" s="8">
        <f t="shared" si="0"/>
        <v>5</v>
      </c>
      <c r="B7" s="8">
        <v>10</v>
      </c>
      <c r="C7" s="8">
        <v>10</v>
      </c>
      <c r="D7" s="8">
        <v>10</v>
      </c>
      <c r="E7" s="8">
        <v>10</v>
      </c>
      <c r="F7" s="8">
        <v>10</v>
      </c>
      <c r="G7" s="8">
        <v>10</v>
      </c>
      <c r="H7" s="8">
        <v>10</v>
      </c>
      <c r="I7" s="8">
        <v>10</v>
      </c>
      <c r="J7" s="8">
        <v>10</v>
      </c>
      <c r="K7" s="8">
        <v>10</v>
      </c>
      <c r="L7" s="8">
        <v>10</v>
      </c>
      <c r="M7" s="8">
        <v>10</v>
      </c>
    </row>
    <row r="8" spans="1:13" ht="15.75" customHeight="1" x14ac:dyDescent="0.25">
      <c r="A8" s="8">
        <f t="shared" si="0"/>
        <v>6</v>
      </c>
      <c r="B8" s="8">
        <v>10</v>
      </c>
      <c r="C8" s="8">
        <v>10</v>
      </c>
      <c r="D8" s="8">
        <v>10</v>
      </c>
      <c r="E8" s="8">
        <v>10</v>
      </c>
      <c r="F8" s="8">
        <v>10</v>
      </c>
      <c r="G8" s="8">
        <v>10</v>
      </c>
      <c r="H8" s="8">
        <v>10</v>
      </c>
      <c r="I8" s="8">
        <v>10</v>
      </c>
      <c r="J8" s="8">
        <v>10</v>
      </c>
      <c r="K8" s="8">
        <v>10</v>
      </c>
      <c r="L8" s="8">
        <v>10</v>
      </c>
      <c r="M8" s="8">
        <v>10</v>
      </c>
    </row>
    <row r="9" spans="1:13" ht="15.75" customHeight="1" x14ac:dyDescent="0.25">
      <c r="A9" s="8">
        <f t="shared" si="0"/>
        <v>7</v>
      </c>
      <c r="B9" s="8">
        <v>10</v>
      </c>
      <c r="C9" s="8">
        <v>10</v>
      </c>
      <c r="D9" s="8">
        <v>10</v>
      </c>
      <c r="E9" s="8">
        <v>10</v>
      </c>
      <c r="F9" s="8">
        <v>10</v>
      </c>
      <c r="G9" s="8">
        <v>10</v>
      </c>
      <c r="H9" s="8">
        <v>10</v>
      </c>
      <c r="I9" s="8">
        <v>10</v>
      </c>
      <c r="J9" s="8">
        <v>10</v>
      </c>
      <c r="K9" s="8">
        <v>10</v>
      </c>
      <c r="L9" s="8">
        <v>10</v>
      </c>
      <c r="M9" s="8">
        <v>10</v>
      </c>
    </row>
    <row r="10" spans="1:13" ht="15.75" customHeight="1" x14ac:dyDescent="0.25">
      <c r="A10" s="8">
        <f t="shared" si="0"/>
        <v>8</v>
      </c>
      <c r="B10" s="8">
        <v>10</v>
      </c>
      <c r="C10" s="8">
        <v>10</v>
      </c>
      <c r="D10" s="8">
        <v>10</v>
      </c>
      <c r="E10" s="8">
        <v>10</v>
      </c>
      <c r="F10" s="8">
        <v>10</v>
      </c>
      <c r="G10" s="8">
        <v>10</v>
      </c>
      <c r="H10" s="8">
        <v>10</v>
      </c>
      <c r="I10" s="8">
        <v>10</v>
      </c>
      <c r="J10" s="8">
        <v>10</v>
      </c>
      <c r="K10" s="8">
        <v>10</v>
      </c>
      <c r="L10" s="8">
        <v>10</v>
      </c>
      <c r="M10" s="8">
        <v>10</v>
      </c>
    </row>
    <row r="11" spans="1:13" ht="15.75" customHeight="1" x14ac:dyDescent="0.25">
      <c r="A11" s="8">
        <f t="shared" si="0"/>
        <v>9</v>
      </c>
      <c r="B11" s="8">
        <v>10</v>
      </c>
      <c r="C11" s="8">
        <v>10</v>
      </c>
      <c r="D11" s="8">
        <v>10</v>
      </c>
      <c r="E11" s="8">
        <v>10</v>
      </c>
      <c r="F11" s="8">
        <v>10</v>
      </c>
      <c r="G11" s="8">
        <v>10</v>
      </c>
      <c r="H11" s="8">
        <v>10</v>
      </c>
      <c r="I11" s="8">
        <v>10</v>
      </c>
      <c r="J11" s="8">
        <v>10</v>
      </c>
      <c r="K11" s="8">
        <v>10</v>
      </c>
      <c r="L11" s="8">
        <v>10</v>
      </c>
      <c r="M11" s="8">
        <v>10</v>
      </c>
    </row>
    <row r="12" spans="1:13" ht="15.75" customHeight="1" x14ac:dyDescent="0.25">
      <c r="A12" s="8">
        <f t="shared" si="0"/>
        <v>10</v>
      </c>
      <c r="B12" s="8">
        <v>10</v>
      </c>
      <c r="C12" s="8">
        <v>10</v>
      </c>
      <c r="D12" s="8">
        <v>10</v>
      </c>
      <c r="E12" s="8">
        <v>10</v>
      </c>
      <c r="F12" s="8">
        <v>10</v>
      </c>
      <c r="G12" s="8">
        <v>10</v>
      </c>
      <c r="H12" s="8">
        <v>10</v>
      </c>
      <c r="I12" s="8">
        <v>10</v>
      </c>
      <c r="J12" s="8">
        <v>10</v>
      </c>
      <c r="K12" s="8">
        <v>10</v>
      </c>
      <c r="L12" s="8">
        <v>10</v>
      </c>
      <c r="M12" s="8">
        <v>10</v>
      </c>
    </row>
    <row r="13" spans="1:13" ht="15.75" customHeight="1" x14ac:dyDescent="0.25">
      <c r="A13" s="8">
        <f t="shared" si="0"/>
        <v>11</v>
      </c>
      <c r="B13" s="8">
        <v>10</v>
      </c>
      <c r="C13" s="8">
        <v>10</v>
      </c>
      <c r="D13" s="8">
        <v>10</v>
      </c>
      <c r="E13" s="8">
        <v>10</v>
      </c>
      <c r="F13" s="8">
        <v>10</v>
      </c>
      <c r="G13" s="8">
        <v>10</v>
      </c>
      <c r="H13" s="8">
        <v>10</v>
      </c>
      <c r="I13" s="8">
        <v>10</v>
      </c>
      <c r="J13" s="8">
        <v>10</v>
      </c>
      <c r="K13" s="8">
        <v>10</v>
      </c>
      <c r="L13" s="8">
        <v>10</v>
      </c>
      <c r="M13" s="8">
        <v>10</v>
      </c>
    </row>
    <row r="14" spans="1:13" ht="15.75" customHeight="1" x14ac:dyDescent="0.25">
      <c r="A14" s="8">
        <f t="shared" si="0"/>
        <v>12</v>
      </c>
      <c r="B14" s="8">
        <v>10</v>
      </c>
      <c r="C14" s="8">
        <v>10</v>
      </c>
      <c r="D14" s="8">
        <v>10</v>
      </c>
      <c r="E14" s="8">
        <v>10</v>
      </c>
      <c r="F14" s="8">
        <v>10</v>
      </c>
      <c r="G14" s="8">
        <v>10</v>
      </c>
      <c r="H14" s="8">
        <v>10</v>
      </c>
      <c r="I14" s="8">
        <v>10</v>
      </c>
      <c r="J14" s="8">
        <v>10</v>
      </c>
      <c r="K14" s="8">
        <v>10</v>
      </c>
      <c r="L14" s="8">
        <v>10</v>
      </c>
      <c r="M14" s="8">
        <v>10</v>
      </c>
    </row>
    <row r="15" spans="1:13" ht="15.75" customHeight="1" x14ac:dyDescent="0.25">
      <c r="A15" s="8">
        <f t="shared" si="0"/>
        <v>13</v>
      </c>
      <c r="B15" s="8">
        <v>10</v>
      </c>
      <c r="C15" s="8">
        <v>10</v>
      </c>
      <c r="D15" s="8">
        <v>10</v>
      </c>
      <c r="E15" s="8">
        <v>10</v>
      </c>
      <c r="F15" s="8">
        <v>10</v>
      </c>
      <c r="G15" s="8">
        <v>10</v>
      </c>
      <c r="H15" s="8">
        <v>10</v>
      </c>
      <c r="I15" s="8">
        <v>10</v>
      </c>
      <c r="J15" s="8">
        <v>10</v>
      </c>
      <c r="K15" s="8">
        <v>10</v>
      </c>
      <c r="L15" s="8">
        <v>10</v>
      </c>
      <c r="M15" s="8">
        <v>10</v>
      </c>
    </row>
    <row r="16" spans="1:13" ht="15.75" customHeight="1" x14ac:dyDescent="0.25">
      <c r="A16" s="8">
        <f t="shared" si="0"/>
        <v>14</v>
      </c>
      <c r="B16" s="8">
        <v>10</v>
      </c>
      <c r="C16" s="8">
        <v>10</v>
      </c>
      <c r="D16" s="8">
        <v>10</v>
      </c>
      <c r="E16" s="8">
        <v>10</v>
      </c>
      <c r="F16" s="8">
        <v>10</v>
      </c>
      <c r="G16" s="8">
        <v>10</v>
      </c>
      <c r="H16" s="8">
        <v>10</v>
      </c>
      <c r="I16" s="8">
        <v>10</v>
      </c>
      <c r="J16" s="8">
        <v>10</v>
      </c>
      <c r="K16" s="8">
        <v>10</v>
      </c>
      <c r="L16" s="8">
        <v>10</v>
      </c>
      <c r="M16" s="8">
        <v>10</v>
      </c>
    </row>
    <row r="17" spans="1:13" ht="15.75" customHeight="1" x14ac:dyDescent="0.25">
      <c r="A17" s="8">
        <f t="shared" si="0"/>
        <v>15</v>
      </c>
      <c r="B17" s="8">
        <v>10</v>
      </c>
      <c r="C17" s="8">
        <v>10</v>
      </c>
      <c r="D17" s="8">
        <v>10</v>
      </c>
      <c r="E17" s="8">
        <v>10</v>
      </c>
      <c r="F17" s="8">
        <v>10</v>
      </c>
      <c r="G17" s="8">
        <v>10</v>
      </c>
      <c r="H17" s="8">
        <v>10</v>
      </c>
      <c r="I17" s="8">
        <v>10</v>
      </c>
      <c r="J17" s="8">
        <v>10</v>
      </c>
      <c r="K17" s="8">
        <v>10</v>
      </c>
      <c r="L17" s="8">
        <v>10</v>
      </c>
      <c r="M17" s="8">
        <v>10</v>
      </c>
    </row>
    <row r="18" spans="1:13" ht="15.75" customHeight="1" x14ac:dyDescent="0.25">
      <c r="A18" s="8">
        <f t="shared" si="0"/>
        <v>16</v>
      </c>
      <c r="B18" s="8">
        <v>10</v>
      </c>
      <c r="C18" s="8">
        <v>10</v>
      </c>
      <c r="D18" s="8">
        <v>10</v>
      </c>
      <c r="E18" s="8">
        <v>10</v>
      </c>
      <c r="F18" s="8">
        <v>10</v>
      </c>
      <c r="G18" s="8">
        <v>10</v>
      </c>
      <c r="H18" s="8">
        <v>10</v>
      </c>
      <c r="I18" s="8">
        <v>10</v>
      </c>
      <c r="J18" s="8">
        <v>10</v>
      </c>
      <c r="K18" s="8">
        <v>10</v>
      </c>
      <c r="L18" s="8">
        <v>10</v>
      </c>
      <c r="M18" s="8">
        <v>10</v>
      </c>
    </row>
    <row r="19" spans="1:13" ht="15.75" customHeight="1" x14ac:dyDescent="0.25">
      <c r="A19" s="8">
        <f t="shared" si="0"/>
        <v>17</v>
      </c>
      <c r="B19" s="8">
        <v>10</v>
      </c>
      <c r="C19" s="8">
        <v>10</v>
      </c>
      <c r="D19" s="8">
        <v>10</v>
      </c>
      <c r="E19" s="8">
        <v>10</v>
      </c>
      <c r="F19" s="8">
        <v>10</v>
      </c>
      <c r="G19" s="8">
        <v>10</v>
      </c>
      <c r="H19" s="8">
        <v>10</v>
      </c>
      <c r="I19" s="8">
        <v>10</v>
      </c>
      <c r="J19" s="8">
        <v>10</v>
      </c>
      <c r="K19" s="8">
        <v>10</v>
      </c>
      <c r="L19" s="8">
        <v>10</v>
      </c>
      <c r="M19" s="8">
        <v>10</v>
      </c>
    </row>
    <row r="20" spans="1:13" ht="15.75" customHeight="1" x14ac:dyDescent="0.25">
      <c r="A20" s="8">
        <f t="shared" si="0"/>
        <v>18</v>
      </c>
      <c r="B20" s="8">
        <v>10</v>
      </c>
      <c r="C20" s="8">
        <v>10</v>
      </c>
      <c r="D20" s="8">
        <v>10</v>
      </c>
      <c r="E20" s="8">
        <v>10</v>
      </c>
      <c r="F20" s="8">
        <v>10</v>
      </c>
      <c r="G20" s="8">
        <v>10</v>
      </c>
      <c r="H20" s="8">
        <v>10</v>
      </c>
      <c r="I20" s="8">
        <v>10</v>
      </c>
      <c r="J20" s="8">
        <v>10</v>
      </c>
      <c r="K20" s="8">
        <v>10</v>
      </c>
      <c r="L20" s="8">
        <v>10</v>
      </c>
      <c r="M20" s="8">
        <v>10</v>
      </c>
    </row>
    <row r="21" spans="1:13" ht="15.75" customHeight="1" x14ac:dyDescent="0.25">
      <c r="A21" s="8">
        <f t="shared" si="0"/>
        <v>19</v>
      </c>
      <c r="B21" s="8">
        <v>10</v>
      </c>
      <c r="C21" s="8">
        <v>10</v>
      </c>
      <c r="D21" s="8">
        <v>10</v>
      </c>
      <c r="E21" s="8">
        <v>10</v>
      </c>
      <c r="F21" s="8">
        <v>10</v>
      </c>
      <c r="G21" s="8">
        <v>10</v>
      </c>
      <c r="H21" s="8">
        <v>10</v>
      </c>
      <c r="I21" s="8">
        <v>10</v>
      </c>
      <c r="J21" s="8">
        <v>10</v>
      </c>
      <c r="K21" s="8">
        <v>10</v>
      </c>
      <c r="L21" s="8">
        <v>10</v>
      </c>
      <c r="M21" s="8">
        <v>10</v>
      </c>
    </row>
    <row r="22" spans="1:13" ht="15.75" customHeight="1" x14ac:dyDescent="0.25">
      <c r="A22" s="8">
        <f t="shared" si="0"/>
        <v>20</v>
      </c>
      <c r="B22" s="8">
        <v>10</v>
      </c>
      <c r="C22" s="8">
        <v>10</v>
      </c>
      <c r="D22" s="8">
        <v>10</v>
      </c>
      <c r="E22" s="8">
        <v>10</v>
      </c>
      <c r="F22" s="8">
        <v>10</v>
      </c>
      <c r="G22" s="8">
        <v>10</v>
      </c>
      <c r="H22" s="8">
        <v>10</v>
      </c>
      <c r="I22" s="8">
        <v>10</v>
      </c>
      <c r="J22" s="8">
        <v>10</v>
      </c>
      <c r="K22" s="8">
        <v>10</v>
      </c>
      <c r="L22" s="8">
        <v>10</v>
      </c>
      <c r="M22" s="8">
        <v>10</v>
      </c>
    </row>
    <row r="23" spans="1:13" ht="15.75" customHeight="1" x14ac:dyDescent="0.25">
      <c r="A23" s="8">
        <f t="shared" si="0"/>
        <v>21</v>
      </c>
      <c r="B23" s="8">
        <v>10</v>
      </c>
      <c r="C23" s="8">
        <v>10</v>
      </c>
      <c r="D23" s="8">
        <v>10</v>
      </c>
      <c r="E23" s="8">
        <v>10</v>
      </c>
      <c r="F23" s="8">
        <v>10</v>
      </c>
      <c r="G23" s="8">
        <v>10</v>
      </c>
      <c r="H23" s="8">
        <v>10</v>
      </c>
      <c r="I23" s="8">
        <v>10</v>
      </c>
      <c r="J23" s="8">
        <v>10</v>
      </c>
      <c r="K23" s="8">
        <v>10</v>
      </c>
      <c r="L23" s="8">
        <v>10</v>
      </c>
      <c r="M23" s="8">
        <v>10</v>
      </c>
    </row>
    <row r="24" spans="1:13" ht="15.75" customHeight="1" x14ac:dyDescent="0.25">
      <c r="A24" s="8">
        <f t="shared" si="0"/>
        <v>22</v>
      </c>
      <c r="B24" s="8">
        <v>10</v>
      </c>
      <c r="C24" s="8">
        <v>10</v>
      </c>
      <c r="D24" s="8">
        <v>10</v>
      </c>
      <c r="E24" s="8">
        <v>10</v>
      </c>
      <c r="F24" s="8">
        <v>10</v>
      </c>
      <c r="G24" s="8">
        <v>10</v>
      </c>
      <c r="H24" s="8">
        <v>10</v>
      </c>
      <c r="I24" s="8">
        <v>10</v>
      </c>
      <c r="J24" s="8">
        <v>10</v>
      </c>
      <c r="K24" s="8">
        <v>10</v>
      </c>
      <c r="L24" s="8">
        <v>10</v>
      </c>
      <c r="M24" s="8">
        <v>10</v>
      </c>
    </row>
    <row r="25" spans="1:13" ht="15.75" customHeight="1" x14ac:dyDescent="0.25">
      <c r="A25" s="8">
        <f t="shared" si="0"/>
        <v>23</v>
      </c>
      <c r="B25" s="8">
        <v>10</v>
      </c>
      <c r="C25" s="8">
        <v>10</v>
      </c>
      <c r="D25" s="8">
        <v>10</v>
      </c>
      <c r="E25" s="8">
        <v>10</v>
      </c>
      <c r="F25" s="8">
        <v>10</v>
      </c>
      <c r="G25" s="8">
        <v>10</v>
      </c>
      <c r="H25" s="8">
        <v>10</v>
      </c>
      <c r="I25" s="8">
        <v>10</v>
      </c>
      <c r="J25" s="8">
        <v>10</v>
      </c>
      <c r="K25" s="8">
        <v>10</v>
      </c>
      <c r="L25" s="8">
        <v>10</v>
      </c>
      <c r="M25" s="8">
        <v>10</v>
      </c>
    </row>
    <row r="26" spans="1:13" ht="15.75" customHeight="1" x14ac:dyDescent="0.25">
      <c r="A26" s="8">
        <f t="shared" si="0"/>
        <v>24</v>
      </c>
      <c r="B26" s="8">
        <v>10</v>
      </c>
      <c r="C26" s="8">
        <v>10</v>
      </c>
      <c r="D26" s="8">
        <v>10</v>
      </c>
      <c r="E26" s="8">
        <v>10</v>
      </c>
      <c r="F26" s="8">
        <v>10</v>
      </c>
      <c r="G26" s="8">
        <v>10</v>
      </c>
      <c r="H26" s="8">
        <v>10</v>
      </c>
      <c r="I26" s="8">
        <v>10</v>
      </c>
      <c r="J26" s="8">
        <v>10</v>
      </c>
      <c r="K26" s="8">
        <v>10</v>
      </c>
      <c r="L26" s="8">
        <v>10</v>
      </c>
      <c r="M26" s="8">
        <v>10</v>
      </c>
    </row>
    <row r="27" spans="1:13" ht="15.75" customHeight="1" x14ac:dyDescent="0.25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 ht="15.75" customHeight="1" x14ac:dyDescent="0.25"/>
    <row r="29" spans="1:13" ht="15.75" customHeight="1" x14ac:dyDescent="0.25"/>
    <row r="30" spans="1:13" ht="15.75" customHeight="1" x14ac:dyDescent="0.25"/>
    <row r="31" spans="1:13" ht="15.75" customHeight="1" x14ac:dyDescent="0.25"/>
    <row r="32" spans="1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6FF5-A064-497F-ABE9-40AD391217A8}">
  <dimension ref="A1:M1000"/>
  <sheetViews>
    <sheetView workbookViewId="0">
      <selection activeCell="D5" sqref="D5"/>
    </sheetView>
  </sheetViews>
  <sheetFormatPr baseColWidth="10" defaultColWidth="11.25" defaultRowHeight="15" customHeight="1" x14ac:dyDescent="0.25"/>
  <cols>
    <col min="2" max="25" width="10.5" customWidth="1"/>
  </cols>
  <sheetData>
    <row r="1" spans="1:13" ht="15.75" customHeight="1" x14ac:dyDescent="0.25">
      <c r="A1" s="2" t="s">
        <v>1</v>
      </c>
      <c r="B1" s="21" t="s">
        <v>31</v>
      </c>
      <c r="C1" s="21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5" t="s">
        <v>38</v>
      </c>
      <c r="J1" s="4" t="s">
        <v>39</v>
      </c>
      <c r="K1" s="4" t="s">
        <v>40</v>
      </c>
      <c r="L1" s="4" t="s">
        <v>41</v>
      </c>
      <c r="M1" s="4" t="s">
        <v>42</v>
      </c>
    </row>
    <row r="2" spans="1:13" ht="15.75" customHeight="1" x14ac:dyDescent="0.25">
      <c r="A2" s="2" t="s">
        <v>2</v>
      </c>
      <c r="B2" s="6" t="s">
        <v>9</v>
      </c>
      <c r="C2" s="2" t="s">
        <v>9</v>
      </c>
      <c r="D2" s="4" t="s">
        <v>9</v>
      </c>
      <c r="E2" s="4" t="s">
        <v>9</v>
      </c>
      <c r="F2" s="4" t="s">
        <v>9</v>
      </c>
      <c r="G2" s="4" t="s">
        <v>9</v>
      </c>
      <c r="H2" s="4" t="s">
        <v>9</v>
      </c>
      <c r="I2" s="5" t="s">
        <v>9</v>
      </c>
      <c r="J2" s="4" t="s">
        <v>9</v>
      </c>
      <c r="K2" s="4" t="s">
        <v>9</v>
      </c>
      <c r="L2" s="4" t="s">
        <v>9</v>
      </c>
      <c r="M2" s="4" t="s">
        <v>9</v>
      </c>
    </row>
    <row r="3" spans="1:13" ht="15.75" customHeight="1" x14ac:dyDescent="0.25">
      <c r="A3" s="8">
        <v>1</v>
      </c>
      <c r="B3" s="8">
        <v>10</v>
      </c>
      <c r="C3" s="8">
        <v>10</v>
      </c>
      <c r="D3" s="8">
        <v>10</v>
      </c>
      <c r="E3" s="8">
        <v>10</v>
      </c>
      <c r="F3" s="8">
        <v>10</v>
      </c>
      <c r="G3" s="8">
        <v>10</v>
      </c>
      <c r="H3" s="8">
        <v>10</v>
      </c>
      <c r="I3" s="8">
        <v>10</v>
      </c>
      <c r="J3" s="8">
        <v>10</v>
      </c>
      <c r="K3" s="8">
        <v>10</v>
      </c>
      <c r="L3" s="8">
        <v>10</v>
      </c>
      <c r="M3" s="8">
        <v>10</v>
      </c>
    </row>
    <row r="4" spans="1:13" ht="15.75" customHeight="1" x14ac:dyDescent="0.25">
      <c r="A4" s="8">
        <f t="shared" ref="A4:A26" si="0">A3+1</f>
        <v>2</v>
      </c>
      <c r="B4" s="8">
        <v>10</v>
      </c>
      <c r="C4" s="8">
        <v>10</v>
      </c>
      <c r="D4" s="8">
        <v>10</v>
      </c>
      <c r="E4" s="8">
        <v>10</v>
      </c>
      <c r="F4" s="8">
        <v>10</v>
      </c>
      <c r="G4" s="8">
        <v>10</v>
      </c>
      <c r="H4" s="8">
        <v>10</v>
      </c>
      <c r="I4" s="8">
        <v>10</v>
      </c>
      <c r="J4" s="8">
        <v>10</v>
      </c>
      <c r="K4" s="8">
        <v>10</v>
      </c>
      <c r="L4" s="8">
        <v>10</v>
      </c>
      <c r="M4" s="8">
        <v>10</v>
      </c>
    </row>
    <row r="5" spans="1:13" ht="15.75" customHeight="1" x14ac:dyDescent="0.25">
      <c r="A5" s="8">
        <f t="shared" si="0"/>
        <v>3</v>
      </c>
      <c r="B5" s="8">
        <v>10</v>
      </c>
      <c r="C5" s="8">
        <v>10</v>
      </c>
      <c r="D5" s="8">
        <v>10</v>
      </c>
      <c r="E5" s="8">
        <v>10</v>
      </c>
      <c r="F5" s="8">
        <v>10</v>
      </c>
      <c r="G5" s="8">
        <v>10</v>
      </c>
      <c r="H5" s="8">
        <v>10</v>
      </c>
      <c r="I5" s="8">
        <v>10</v>
      </c>
      <c r="J5" s="8">
        <v>10</v>
      </c>
      <c r="K5" s="8">
        <v>10</v>
      </c>
      <c r="L5" s="8">
        <v>10</v>
      </c>
      <c r="M5" s="8">
        <v>10</v>
      </c>
    </row>
    <row r="6" spans="1:13" ht="15.75" customHeight="1" x14ac:dyDescent="0.25">
      <c r="A6" s="8">
        <f t="shared" si="0"/>
        <v>4</v>
      </c>
      <c r="B6" s="8">
        <v>10</v>
      </c>
      <c r="C6" s="8">
        <v>10</v>
      </c>
      <c r="D6" s="8">
        <v>10</v>
      </c>
      <c r="E6" s="8">
        <v>10</v>
      </c>
      <c r="F6" s="8">
        <v>10</v>
      </c>
      <c r="G6" s="8">
        <v>10</v>
      </c>
      <c r="H6" s="8">
        <v>10</v>
      </c>
      <c r="I6" s="8">
        <v>10</v>
      </c>
      <c r="J6" s="8">
        <v>10</v>
      </c>
      <c r="K6" s="8">
        <v>10</v>
      </c>
      <c r="L6" s="8">
        <v>10</v>
      </c>
      <c r="M6" s="8">
        <v>10</v>
      </c>
    </row>
    <row r="7" spans="1:13" ht="15.75" customHeight="1" x14ac:dyDescent="0.25">
      <c r="A7" s="8">
        <f t="shared" si="0"/>
        <v>5</v>
      </c>
      <c r="B7" s="8">
        <v>10</v>
      </c>
      <c r="C7" s="8">
        <v>10</v>
      </c>
      <c r="D7" s="8">
        <v>10</v>
      </c>
      <c r="E7" s="8">
        <v>10</v>
      </c>
      <c r="F7" s="8">
        <v>10</v>
      </c>
      <c r="G7" s="8">
        <v>10</v>
      </c>
      <c r="H7" s="8">
        <v>10</v>
      </c>
      <c r="I7" s="8">
        <v>10</v>
      </c>
      <c r="J7" s="8">
        <v>10</v>
      </c>
      <c r="K7" s="8">
        <v>10</v>
      </c>
      <c r="L7" s="8">
        <v>10</v>
      </c>
      <c r="M7" s="8">
        <v>10</v>
      </c>
    </row>
    <row r="8" spans="1:13" ht="15.75" customHeight="1" x14ac:dyDescent="0.25">
      <c r="A8" s="8">
        <f t="shared" si="0"/>
        <v>6</v>
      </c>
      <c r="B8" s="8">
        <v>10</v>
      </c>
      <c r="C8" s="8">
        <v>10</v>
      </c>
      <c r="D8" s="8">
        <v>10</v>
      </c>
      <c r="E8" s="8">
        <v>10</v>
      </c>
      <c r="F8" s="8">
        <v>10</v>
      </c>
      <c r="G8" s="8">
        <v>10</v>
      </c>
      <c r="H8" s="8">
        <v>10</v>
      </c>
      <c r="I8" s="8">
        <v>10</v>
      </c>
      <c r="J8" s="8">
        <v>10</v>
      </c>
      <c r="K8" s="8">
        <v>10</v>
      </c>
      <c r="L8" s="8">
        <v>10</v>
      </c>
      <c r="M8" s="8">
        <v>10</v>
      </c>
    </row>
    <row r="9" spans="1:13" ht="15.75" customHeight="1" x14ac:dyDescent="0.25">
      <c r="A9" s="8">
        <f t="shared" si="0"/>
        <v>7</v>
      </c>
      <c r="B9" s="8">
        <v>10</v>
      </c>
      <c r="C9" s="8">
        <v>10</v>
      </c>
      <c r="D9" s="8">
        <v>10</v>
      </c>
      <c r="E9" s="8">
        <v>10</v>
      </c>
      <c r="F9" s="8">
        <v>10</v>
      </c>
      <c r="G9" s="8">
        <v>10</v>
      </c>
      <c r="H9" s="8">
        <v>10</v>
      </c>
      <c r="I9" s="8">
        <v>10</v>
      </c>
      <c r="J9" s="8">
        <v>10</v>
      </c>
      <c r="K9" s="8">
        <v>10</v>
      </c>
      <c r="L9" s="8">
        <v>10</v>
      </c>
      <c r="M9" s="8">
        <v>10</v>
      </c>
    </row>
    <row r="10" spans="1:13" ht="15.75" customHeight="1" x14ac:dyDescent="0.25">
      <c r="A10" s="8">
        <f t="shared" si="0"/>
        <v>8</v>
      </c>
      <c r="B10" s="8">
        <v>10</v>
      </c>
      <c r="C10" s="8">
        <v>10</v>
      </c>
      <c r="D10" s="8">
        <v>10</v>
      </c>
      <c r="E10" s="8">
        <v>10</v>
      </c>
      <c r="F10" s="8">
        <v>10</v>
      </c>
      <c r="G10" s="8">
        <v>10</v>
      </c>
      <c r="H10" s="8">
        <v>10</v>
      </c>
      <c r="I10" s="8">
        <v>10</v>
      </c>
      <c r="J10" s="8">
        <v>10</v>
      </c>
      <c r="K10" s="8">
        <v>10</v>
      </c>
      <c r="L10" s="8">
        <v>10</v>
      </c>
      <c r="M10" s="8">
        <v>10</v>
      </c>
    </row>
    <row r="11" spans="1:13" ht="15.75" customHeight="1" x14ac:dyDescent="0.25">
      <c r="A11" s="8">
        <f t="shared" si="0"/>
        <v>9</v>
      </c>
      <c r="B11" s="8">
        <v>10</v>
      </c>
      <c r="C11" s="8">
        <v>10</v>
      </c>
      <c r="D11" s="8">
        <v>10</v>
      </c>
      <c r="E11" s="8">
        <v>10</v>
      </c>
      <c r="F11" s="8">
        <v>10</v>
      </c>
      <c r="G11" s="8">
        <v>10</v>
      </c>
      <c r="H11" s="8">
        <v>10</v>
      </c>
      <c r="I11" s="8">
        <v>10</v>
      </c>
      <c r="J11" s="8">
        <v>10</v>
      </c>
      <c r="K11" s="8">
        <v>10</v>
      </c>
      <c r="L11" s="8">
        <v>10</v>
      </c>
      <c r="M11" s="8">
        <v>10</v>
      </c>
    </row>
    <row r="12" spans="1:13" ht="15.75" customHeight="1" x14ac:dyDescent="0.25">
      <c r="A12" s="8">
        <f t="shared" si="0"/>
        <v>10</v>
      </c>
      <c r="B12" s="8">
        <v>10</v>
      </c>
      <c r="C12" s="8">
        <v>10</v>
      </c>
      <c r="D12" s="8">
        <v>10</v>
      </c>
      <c r="E12" s="8">
        <v>10</v>
      </c>
      <c r="F12" s="8">
        <v>10</v>
      </c>
      <c r="G12" s="8">
        <v>10</v>
      </c>
      <c r="H12" s="8">
        <v>10</v>
      </c>
      <c r="I12" s="8">
        <v>10</v>
      </c>
      <c r="J12" s="8">
        <v>10</v>
      </c>
      <c r="K12" s="8">
        <v>10</v>
      </c>
      <c r="L12" s="8">
        <v>10</v>
      </c>
      <c r="M12" s="8">
        <v>10</v>
      </c>
    </row>
    <row r="13" spans="1:13" ht="15.75" customHeight="1" x14ac:dyDescent="0.25">
      <c r="A13" s="8">
        <f t="shared" si="0"/>
        <v>11</v>
      </c>
      <c r="B13" s="8">
        <v>10</v>
      </c>
      <c r="C13" s="8">
        <v>10</v>
      </c>
      <c r="D13" s="8">
        <v>10</v>
      </c>
      <c r="E13" s="8">
        <v>10</v>
      </c>
      <c r="F13" s="8">
        <v>10</v>
      </c>
      <c r="G13" s="8">
        <v>10</v>
      </c>
      <c r="H13" s="8">
        <v>10</v>
      </c>
      <c r="I13" s="8">
        <v>10</v>
      </c>
      <c r="J13" s="8">
        <v>10</v>
      </c>
      <c r="K13" s="8">
        <v>10</v>
      </c>
      <c r="L13" s="8">
        <v>10</v>
      </c>
      <c r="M13" s="8">
        <v>10</v>
      </c>
    </row>
    <row r="14" spans="1:13" ht="15.75" customHeight="1" x14ac:dyDescent="0.25">
      <c r="A14" s="8">
        <f t="shared" si="0"/>
        <v>12</v>
      </c>
      <c r="B14" s="8">
        <v>10</v>
      </c>
      <c r="C14" s="8">
        <v>10</v>
      </c>
      <c r="D14" s="8">
        <v>10</v>
      </c>
      <c r="E14" s="8">
        <v>10</v>
      </c>
      <c r="F14" s="8">
        <v>10</v>
      </c>
      <c r="G14" s="8">
        <v>10</v>
      </c>
      <c r="H14" s="8">
        <v>10</v>
      </c>
      <c r="I14" s="8">
        <v>10</v>
      </c>
      <c r="J14" s="8">
        <v>10</v>
      </c>
      <c r="K14" s="8">
        <v>10</v>
      </c>
      <c r="L14" s="8">
        <v>10</v>
      </c>
      <c r="M14" s="8">
        <v>10</v>
      </c>
    </row>
    <row r="15" spans="1:13" ht="15.75" customHeight="1" x14ac:dyDescent="0.25">
      <c r="A15" s="8">
        <f t="shared" si="0"/>
        <v>13</v>
      </c>
      <c r="B15" s="8">
        <v>10</v>
      </c>
      <c r="C15" s="8">
        <v>10</v>
      </c>
      <c r="D15" s="8">
        <v>10</v>
      </c>
      <c r="E15" s="8">
        <v>10</v>
      </c>
      <c r="F15" s="8">
        <v>10</v>
      </c>
      <c r="G15" s="8">
        <v>10</v>
      </c>
      <c r="H15" s="8">
        <v>10</v>
      </c>
      <c r="I15" s="8">
        <v>10</v>
      </c>
      <c r="J15" s="8">
        <v>10</v>
      </c>
      <c r="K15" s="8">
        <v>10</v>
      </c>
      <c r="L15" s="8">
        <v>10</v>
      </c>
      <c r="M15" s="8">
        <v>10</v>
      </c>
    </row>
    <row r="16" spans="1:13" ht="15.75" customHeight="1" x14ac:dyDescent="0.25">
      <c r="A16" s="8">
        <f t="shared" si="0"/>
        <v>14</v>
      </c>
      <c r="B16" s="8">
        <v>10</v>
      </c>
      <c r="C16" s="8">
        <v>10</v>
      </c>
      <c r="D16" s="8">
        <v>10</v>
      </c>
      <c r="E16" s="8">
        <v>10</v>
      </c>
      <c r="F16" s="8">
        <v>10</v>
      </c>
      <c r="G16" s="8">
        <v>10</v>
      </c>
      <c r="H16" s="8">
        <v>10</v>
      </c>
      <c r="I16" s="8">
        <v>10</v>
      </c>
      <c r="J16" s="8">
        <v>10</v>
      </c>
      <c r="K16" s="8">
        <v>10</v>
      </c>
      <c r="L16" s="8">
        <v>10</v>
      </c>
      <c r="M16" s="8">
        <v>10</v>
      </c>
    </row>
    <row r="17" spans="1:13" ht="15.75" customHeight="1" x14ac:dyDescent="0.25">
      <c r="A17" s="8">
        <f t="shared" si="0"/>
        <v>15</v>
      </c>
      <c r="B17" s="8">
        <v>10</v>
      </c>
      <c r="C17" s="8">
        <v>10</v>
      </c>
      <c r="D17" s="8">
        <v>10</v>
      </c>
      <c r="E17" s="8">
        <v>10</v>
      </c>
      <c r="F17" s="8">
        <v>10</v>
      </c>
      <c r="G17" s="8">
        <v>10</v>
      </c>
      <c r="H17" s="8">
        <v>10</v>
      </c>
      <c r="I17" s="8">
        <v>10</v>
      </c>
      <c r="J17" s="8">
        <v>10</v>
      </c>
      <c r="K17" s="8">
        <v>10</v>
      </c>
      <c r="L17" s="8">
        <v>10</v>
      </c>
      <c r="M17" s="8">
        <v>10</v>
      </c>
    </row>
    <row r="18" spans="1:13" ht="15.75" customHeight="1" x14ac:dyDescent="0.25">
      <c r="A18" s="8">
        <f t="shared" si="0"/>
        <v>16</v>
      </c>
      <c r="B18" s="8">
        <v>10</v>
      </c>
      <c r="C18" s="8">
        <v>10</v>
      </c>
      <c r="D18" s="8">
        <v>10</v>
      </c>
      <c r="E18" s="8">
        <v>10</v>
      </c>
      <c r="F18" s="8">
        <v>10</v>
      </c>
      <c r="G18" s="8">
        <v>10</v>
      </c>
      <c r="H18" s="8">
        <v>10</v>
      </c>
      <c r="I18" s="8">
        <v>10</v>
      </c>
      <c r="J18" s="8">
        <v>10</v>
      </c>
      <c r="K18" s="8">
        <v>10</v>
      </c>
      <c r="L18" s="8">
        <v>10</v>
      </c>
      <c r="M18" s="8">
        <v>10</v>
      </c>
    </row>
    <row r="19" spans="1:13" ht="15.75" customHeight="1" x14ac:dyDescent="0.25">
      <c r="A19" s="8">
        <f t="shared" si="0"/>
        <v>17</v>
      </c>
      <c r="B19" s="8">
        <v>10</v>
      </c>
      <c r="C19" s="8">
        <v>10</v>
      </c>
      <c r="D19" s="8">
        <v>10</v>
      </c>
      <c r="E19" s="8">
        <v>10</v>
      </c>
      <c r="F19" s="8">
        <v>10</v>
      </c>
      <c r="G19" s="8">
        <v>10</v>
      </c>
      <c r="H19" s="8">
        <v>10</v>
      </c>
      <c r="I19" s="8">
        <v>10</v>
      </c>
      <c r="J19" s="8">
        <v>10</v>
      </c>
      <c r="K19" s="8">
        <v>10</v>
      </c>
      <c r="L19" s="8">
        <v>10</v>
      </c>
      <c r="M19" s="8">
        <v>10</v>
      </c>
    </row>
    <row r="20" spans="1:13" ht="15.75" customHeight="1" x14ac:dyDescent="0.25">
      <c r="A20" s="8">
        <f t="shared" si="0"/>
        <v>18</v>
      </c>
      <c r="B20" s="8">
        <v>10</v>
      </c>
      <c r="C20" s="8">
        <v>10</v>
      </c>
      <c r="D20" s="8">
        <v>10</v>
      </c>
      <c r="E20" s="8">
        <v>10</v>
      </c>
      <c r="F20" s="8">
        <v>10</v>
      </c>
      <c r="G20" s="8">
        <v>10</v>
      </c>
      <c r="H20" s="8">
        <v>10</v>
      </c>
      <c r="I20" s="8">
        <v>10</v>
      </c>
      <c r="J20" s="8">
        <v>10</v>
      </c>
      <c r="K20" s="8">
        <v>10</v>
      </c>
      <c r="L20" s="8">
        <v>10</v>
      </c>
      <c r="M20" s="8">
        <v>10</v>
      </c>
    </row>
    <row r="21" spans="1:13" ht="15.75" customHeight="1" x14ac:dyDescent="0.25">
      <c r="A21" s="8">
        <f t="shared" si="0"/>
        <v>19</v>
      </c>
      <c r="B21" s="8">
        <v>10</v>
      </c>
      <c r="C21" s="8">
        <v>10</v>
      </c>
      <c r="D21" s="8">
        <v>10</v>
      </c>
      <c r="E21" s="8">
        <v>10</v>
      </c>
      <c r="F21" s="8">
        <v>10</v>
      </c>
      <c r="G21" s="8">
        <v>10</v>
      </c>
      <c r="H21" s="8">
        <v>10</v>
      </c>
      <c r="I21" s="8">
        <v>10</v>
      </c>
      <c r="J21" s="8">
        <v>10</v>
      </c>
      <c r="K21" s="8">
        <v>10</v>
      </c>
      <c r="L21" s="8">
        <v>10</v>
      </c>
      <c r="M21" s="8">
        <v>10</v>
      </c>
    </row>
    <row r="22" spans="1:13" ht="15.75" customHeight="1" x14ac:dyDescent="0.25">
      <c r="A22" s="8">
        <f t="shared" si="0"/>
        <v>20</v>
      </c>
      <c r="B22" s="8">
        <v>10</v>
      </c>
      <c r="C22" s="8">
        <v>10</v>
      </c>
      <c r="D22" s="8">
        <v>10</v>
      </c>
      <c r="E22" s="8">
        <v>10</v>
      </c>
      <c r="F22" s="8">
        <v>10</v>
      </c>
      <c r="G22" s="8">
        <v>10</v>
      </c>
      <c r="H22" s="8">
        <v>10</v>
      </c>
      <c r="I22" s="8">
        <v>10</v>
      </c>
      <c r="J22" s="8">
        <v>10</v>
      </c>
      <c r="K22" s="8">
        <v>10</v>
      </c>
      <c r="L22" s="8">
        <v>10</v>
      </c>
      <c r="M22" s="8">
        <v>10</v>
      </c>
    </row>
    <row r="23" spans="1:13" ht="15.75" customHeight="1" x14ac:dyDescent="0.25">
      <c r="A23" s="8">
        <f t="shared" si="0"/>
        <v>21</v>
      </c>
      <c r="B23" s="8">
        <v>10</v>
      </c>
      <c r="C23" s="8">
        <v>10</v>
      </c>
      <c r="D23" s="8">
        <v>10</v>
      </c>
      <c r="E23" s="8">
        <v>10</v>
      </c>
      <c r="F23" s="8">
        <v>10</v>
      </c>
      <c r="G23" s="8">
        <v>10</v>
      </c>
      <c r="H23" s="8">
        <v>10</v>
      </c>
      <c r="I23" s="8">
        <v>10</v>
      </c>
      <c r="J23" s="8">
        <v>10</v>
      </c>
      <c r="K23" s="8">
        <v>10</v>
      </c>
      <c r="L23" s="8">
        <v>10</v>
      </c>
      <c r="M23" s="8">
        <v>10</v>
      </c>
    </row>
    <row r="24" spans="1:13" ht="15.75" customHeight="1" x14ac:dyDescent="0.25">
      <c r="A24" s="8">
        <f t="shared" si="0"/>
        <v>22</v>
      </c>
      <c r="B24" s="8">
        <v>10</v>
      </c>
      <c r="C24" s="8">
        <v>10</v>
      </c>
      <c r="D24" s="8">
        <v>10</v>
      </c>
      <c r="E24" s="8">
        <v>10</v>
      </c>
      <c r="F24" s="8">
        <v>10</v>
      </c>
      <c r="G24" s="8">
        <v>10</v>
      </c>
      <c r="H24" s="8">
        <v>10</v>
      </c>
      <c r="I24" s="8">
        <v>10</v>
      </c>
      <c r="J24" s="8">
        <v>10</v>
      </c>
      <c r="K24" s="8">
        <v>10</v>
      </c>
      <c r="L24" s="8">
        <v>10</v>
      </c>
      <c r="M24" s="8">
        <v>10</v>
      </c>
    </row>
    <row r="25" spans="1:13" ht="15.75" customHeight="1" x14ac:dyDescent="0.25">
      <c r="A25" s="8">
        <f t="shared" si="0"/>
        <v>23</v>
      </c>
      <c r="B25" s="8">
        <v>10</v>
      </c>
      <c r="C25" s="8">
        <v>10</v>
      </c>
      <c r="D25" s="8">
        <v>10</v>
      </c>
      <c r="E25" s="8">
        <v>10</v>
      </c>
      <c r="F25" s="8">
        <v>10</v>
      </c>
      <c r="G25" s="8">
        <v>10</v>
      </c>
      <c r="H25" s="8">
        <v>10</v>
      </c>
      <c r="I25" s="8">
        <v>10</v>
      </c>
      <c r="J25" s="8">
        <v>10</v>
      </c>
      <c r="K25" s="8">
        <v>10</v>
      </c>
      <c r="L25" s="8">
        <v>10</v>
      </c>
      <c r="M25" s="8">
        <v>10</v>
      </c>
    </row>
    <row r="26" spans="1:13" ht="15.75" customHeight="1" x14ac:dyDescent="0.25">
      <c r="A26" s="8">
        <f t="shared" si="0"/>
        <v>24</v>
      </c>
      <c r="B26" s="8">
        <v>10</v>
      </c>
      <c r="C26" s="8">
        <v>10</v>
      </c>
      <c r="D26" s="8">
        <v>10</v>
      </c>
      <c r="E26" s="8">
        <v>10</v>
      </c>
      <c r="F26" s="8">
        <v>10</v>
      </c>
      <c r="G26" s="8">
        <v>10</v>
      </c>
      <c r="H26" s="8">
        <v>10</v>
      </c>
      <c r="I26" s="8">
        <v>10</v>
      </c>
      <c r="J26" s="8">
        <v>10</v>
      </c>
      <c r="K26" s="8">
        <v>10</v>
      </c>
      <c r="L26" s="8">
        <v>10</v>
      </c>
      <c r="M26" s="8">
        <v>10</v>
      </c>
    </row>
    <row r="27" spans="1:13" ht="15.75" customHeight="1" x14ac:dyDescent="0.25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 ht="15.75" customHeight="1" x14ac:dyDescent="0.25"/>
    <row r="29" spans="1:13" ht="15.75" customHeight="1" x14ac:dyDescent="0.25"/>
    <row r="30" spans="1:13" ht="15.75" customHeight="1" x14ac:dyDescent="0.25"/>
    <row r="31" spans="1:13" ht="15.75" customHeight="1" x14ac:dyDescent="0.25"/>
    <row r="32" spans="1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D8848-E26F-470B-8365-A942EB8A6750}">
  <dimension ref="A1:D3"/>
  <sheetViews>
    <sheetView workbookViewId="0">
      <selection activeCell="G5" sqref="G5"/>
    </sheetView>
  </sheetViews>
  <sheetFormatPr baseColWidth="10" defaultRowHeight="15.75" x14ac:dyDescent="0.25"/>
  <sheetData>
    <row r="1" spans="1:4" x14ac:dyDescent="0.25">
      <c r="A1" t="s">
        <v>83</v>
      </c>
      <c r="B1" t="s">
        <v>84</v>
      </c>
      <c r="C1" t="s">
        <v>79</v>
      </c>
      <c r="D1" t="s">
        <v>81</v>
      </c>
    </row>
    <row r="2" spans="1:4" x14ac:dyDescent="0.25">
      <c r="A2" t="s">
        <v>82</v>
      </c>
      <c r="B2" t="s">
        <v>82</v>
      </c>
      <c r="C2" t="s">
        <v>80</v>
      </c>
      <c r="D2" t="s">
        <v>4</v>
      </c>
    </row>
    <row r="3" spans="1:4" x14ac:dyDescent="0.25">
      <c r="A3">
        <v>50</v>
      </c>
      <c r="B3">
        <v>48</v>
      </c>
      <c r="C3">
        <v>1</v>
      </c>
      <c r="D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gen_pv</vt:lpstr>
      <vt:lpstr>perfil_solar</vt:lpstr>
      <vt:lpstr>gen_w</vt:lpstr>
      <vt:lpstr>perfil_eolico</vt:lpstr>
      <vt:lpstr>gen_th</vt:lpstr>
      <vt:lpstr>red</vt:lpstr>
      <vt:lpstr>nodos</vt:lpstr>
      <vt:lpstr>dem</vt:lpstr>
      <vt:lpstr>reserva</vt:lpstr>
      <vt:lpstr>others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Alonso Soto Naranjo</dc:creator>
  <cp:lastModifiedBy>Fernando Alonso Soto Naranjo (fernando.soto.n)</cp:lastModifiedBy>
  <dcterms:created xsi:type="dcterms:W3CDTF">2024-05-31T18:40:30Z</dcterms:created>
  <dcterms:modified xsi:type="dcterms:W3CDTF">2025-11-01T21:15:24Z</dcterms:modified>
</cp:coreProperties>
</file>